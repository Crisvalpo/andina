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fespinoza\Desktop\"/>
    </mc:Choice>
  </mc:AlternateContent>
  <xr:revisionPtr revIDLastSave="0" documentId="13_ncr:1_{E5E5BDE6-794D-47CE-8779-5EB1ACE8646C}" xr6:coauthVersionLast="47" xr6:coauthVersionMax="47" xr10:uidLastSave="{00000000-0000-0000-0000-000000000000}"/>
  <bookViews>
    <workbookView xWindow="22932" yWindow="-108" windowWidth="41496" windowHeight="16776" firstSheet="1" activeTab="1" xr2:uid="{250F9D4B-51C0-4D90-B515-2EE739C94F9E}"/>
  </bookViews>
  <sheets>
    <sheet name="Hoja4" sheetId="4" state="hidden" r:id="rId1"/>
    <sheet name="Resumen No Recibidos" sheetId="7" r:id="rId2"/>
    <sheet name="Recibido en Propuesta" sheetId="2" r:id="rId3"/>
    <sheet name="Recibidos al 27OCT" sheetId="8" r:id="rId4"/>
  </sheets>
  <externalReferences>
    <externalReference r:id="rId5"/>
  </externalReferences>
  <definedNames>
    <definedName name="_xlnm._FilterDatabase" localSheetId="2" hidden="1">'Recibido en Propuesta'!$A$6:$M$1046</definedName>
    <definedName name="_xlnm._FilterDatabase" localSheetId="3" hidden="1">'Recibidos al 27OCT'!$A$3:$E$327</definedName>
    <definedName name="_xlnm.Print_Area" localSheetId="2">'Recibido en Propuesta'!$A$1:$K$1046</definedName>
    <definedName name="_xlnm.Print_Titles" localSheetId="2">'Recibido en Propuesta'!$1:$6</definedName>
  </definedNames>
  <calcPr calcId="191028"/>
  <pivotCaches>
    <pivotCache cacheId="732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34" i="2" l="1"/>
  <c r="M1006" i="2"/>
  <c r="M1005" i="2"/>
  <c r="M1004" i="2"/>
  <c r="M1003" i="2"/>
  <c r="M997" i="2"/>
  <c r="M992" i="2"/>
  <c r="M991" i="2"/>
  <c r="M990" i="2"/>
  <c r="M989" i="2"/>
  <c r="M988" i="2"/>
  <c r="M987" i="2"/>
  <c r="M986" i="2"/>
  <c r="M985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4" i="2"/>
  <c r="M953" i="2"/>
  <c r="M952" i="2"/>
  <c r="M951" i="2"/>
  <c r="M950" i="2"/>
  <c r="M949" i="2"/>
  <c r="M948" i="2"/>
  <c r="M947" i="2"/>
  <c r="M946" i="2"/>
  <c r="M944" i="2"/>
  <c r="M943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2" i="2"/>
  <c r="M911" i="2"/>
  <c r="M910" i="2"/>
  <c r="M909" i="2"/>
  <c r="M904" i="2"/>
  <c r="M902" i="2"/>
  <c r="M901" i="2"/>
  <c r="M900" i="2"/>
  <c r="M899" i="2"/>
  <c r="M898" i="2"/>
  <c r="M897" i="2"/>
  <c r="M896" i="2"/>
  <c r="M895" i="2"/>
  <c r="M894" i="2"/>
  <c r="M893" i="2"/>
  <c r="M885" i="2"/>
  <c r="M884" i="2"/>
  <c r="M883" i="2"/>
  <c r="M882" i="2"/>
  <c r="M881" i="2"/>
  <c r="M880" i="2"/>
  <c r="M878" i="2"/>
  <c r="M877" i="2"/>
  <c r="M876" i="2"/>
  <c r="M875" i="2"/>
  <c r="M874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19" i="2"/>
  <c r="A1046" i="2"/>
  <c r="A1044" i="2"/>
  <c r="A1043" i="2"/>
  <c r="A1041" i="2"/>
  <c r="A1040" i="2"/>
  <c r="A1038" i="2"/>
  <c r="A1036" i="2"/>
  <c r="A1034" i="2"/>
  <c r="A1033" i="2"/>
  <c r="A1032" i="2"/>
  <c r="A1031" i="2"/>
  <c r="A1030" i="2"/>
  <c r="A1029" i="2"/>
  <c r="A1028" i="2"/>
  <c r="A1027" i="2"/>
  <c r="A1026" i="2"/>
  <c r="A1025" i="2"/>
  <c r="A1023" i="2"/>
  <c r="A1021" i="2"/>
  <c r="A1020" i="2"/>
  <c r="A1018" i="2"/>
  <c r="A1017" i="2"/>
  <c r="A1016" i="2"/>
  <c r="A1014" i="2"/>
  <c r="A1012" i="2"/>
  <c r="A1010" i="2"/>
  <c r="A1008" i="2"/>
  <c r="A1006" i="2"/>
  <c r="A1005" i="2"/>
  <c r="A1004" i="2"/>
  <c r="A1003" i="2"/>
  <c r="A1002" i="2"/>
  <c r="A1000" i="2"/>
  <c r="A999" i="2"/>
  <c r="A998" i="2"/>
  <c r="A997" i="2"/>
  <c r="A996" i="2"/>
  <c r="A995" i="2"/>
  <c r="A994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0" i="2"/>
  <c r="A869" i="2"/>
  <c r="A867" i="2"/>
  <c r="A866" i="2"/>
  <c r="A864" i="2"/>
  <c r="A863" i="2"/>
  <c r="A862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7" i="2"/>
  <c r="A636" i="2"/>
  <c r="A634" i="2"/>
  <c r="A632" i="2"/>
  <c r="A631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</calcChain>
</file>

<file path=xl/sharedStrings.xml><?xml version="1.0" encoding="utf-8"?>
<sst xmlns="http://schemas.openxmlformats.org/spreadsheetml/2006/main" count="8851" uniqueCount="2894">
  <si>
    <t>Recibidos</t>
  </si>
  <si>
    <t>#N/D</t>
  </si>
  <si>
    <t>APLICA ING</t>
  </si>
  <si>
    <t>(Varios elementos)</t>
  </si>
  <si>
    <t>Etiquetas de fila</t>
  </si>
  <si>
    <t>Cuenta de TIPO</t>
  </si>
  <si>
    <t>CRITERIO</t>
  </si>
  <si>
    <t>CUBICACION</t>
  </si>
  <si>
    <t>ESP. TECNICA</t>
  </si>
  <si>
    <t>HOJA DE DATOS</t>
  </si>
  <si>
    <t>INFORME</t>
  </si>
  <si>
    <t>LISTADO</t>
  </si>
  <si>
    <t>MAQUETA</t>
  </si>
  <si>
    <t>P&amp;ID</t>
  </si>
  <si>
    <t>PLANO</t>
  </si>
  <si>
    <t>Total general</t>
  </si>
  <si>
    <t>FO.EIM-CAL-01-02</t>
  </si>
  <si>
    <t>PLANILLA DE CONTROL DE DOCUMENTOS</t>
  </si>
  <si>
    <t>CODELCO ANDINA</t>
  </si>
  <si>
    <t>MONTAJE ESPESADOR DE CABEZA PMFC -DAND</t>
  </si>
  <si>
    <t>It.</t>
  </si>
  <si>
    <t>Nº del documento</t>
  </si>
  <si>
    <t>CÓDIGO</t>
  </si>
  <si>
    <t>Descripcion</t>
  </si>
  <si>
    <t>Rev.</t>
  </si>
  <si>
    <t>Fecha Recep</t>
  </si>
  <si>
    <t>TIPO</t>
  </si>
  <si>
    <t>Status</t>
  </si>
  <si>
    <t>Nº Hoja</t>
  </si>
  <si>
    <t>Especialidad</t>
  </si>
  <si>
    <t>CARPETA</t>
  </si>
  <si>
    <t>01. 12-02-24</t>
  </si>
  <si>
    <t>Corporación Nacional del Cobre le ha invitado a participar en un evento_ RFP MONTAJE ESPESADOR DE CABEZA PMFC -DAND_</t>
  </si>
  <si>
    <t>CORREO RESPALDO - CORPORACIÓN NACIONAL DEL COBRE LE HA INVITADO A PARTICIPAR EN UN EVENTO_ RFP MONTAJE ESPESADOR DE CABEZA PMFC -DAND_</t>
  </si>
  <si>
    <t>-</t>
  </si>
  <si>
    <t>CORREO</t>
  </si>
  <si>
    <t>ESTUDIO</t>
  </si>
  <si>
    <t>GENERAL</t>
  </si>
  <si>
    <t>NO</t>
  </si>
  <si>
    <t>ANT-01</t>
  </si>
  <si>
    <t>FORMULARIO DE ANTECEDENTES - ANT-01 - IDENTIFICACION DE PROPONENTE</t>
  </si>
  <si>
    <t>FORMULARIO</t>
  </si>
  <si>
    <t>ANTECEDENTES</t>
  </si>
  <si>
    <t>ANT-02</t>
  </si>
  <si>
    <t>FORMULARIO DE ANTECEDENTES - ANT-02 - PRECALIFICACION COMERCIAL</t>
  </si>
  <si>
    <t>ANT-03</t>
  </si>
  <si>
    <t>FORMULARIO DE ANTECEDENTES - ANT-03 - PRECALIFICACION FINANCIERA</t>
  </si>
  <si>
    <t>ANT-04</t>
  </si>
  <si>
    <t>FORMULARIO DE ANTECEDENTES - ANT-04 - ANTECEDENTES TECNICOS Y EXPERIENCIA</t>
  </si>
  <si>
    <t>OBSOLETO</t>
  </si>
  <si>
    <t>ANT-05 Declaración de Conformidad</t>
  </si>
  <si>
    <t>FORMULARIO DE ANTECEDENTES - ANT-05 - DECLARACION DE CONFORMIDAD</t>
  </si>
  <si>
    <t>ANT-06</t>
  </si>
  <si>
    <t>FORMULARIO DE ANTECEDENTES - ANT-06 - DECLARACIONES JURADAS DE PERSONAS JURIDICAS</t>
  </si>
  <si>
    <t>ANT-07</t>
  </si>
  <si>
    <t>FORMULARIO DE ANTECEDENTES - ANT-07 - CERTIFICADO DE RESULTADOS DE SEGURIDAD</t>
  </si>
  <si>
    <t>ANT-08</t>
  </si>
  <si>
    <t>FORMULARIO DE ANTECEDENTES - ANT-08 - CARTA ACEPTACION CORREO ELECTRONICO</t>
  </si>
  <si>
    <t>ANT-09</t>
  </si>
  <si>
    <t>FORMULARIO DE ANTECEDENTES - ANT-09 - CONSTANCIA DE REUNION / VISTA A TERRENO</t>
  </si>
  <si>
    <t>ANT-10</t>
  </si>
  <si>
    <t>FORMULARIO DE ANTECEDENTES - ANT-10 - EXCLUSIONES Y ALCANCES DE LA OFERTA</t>
  </si>
  <si>
    <t>BT Mont espesador cabeza Rev 0</t>
  </si>
  <si>
    <t>BASES TECNICAS LICITACIÓN PÚBLICA - “MONTAJE ESPESADOR DE CABEZA, PMFC-DAND”</t>
  </si>
  <si>
    <t>BASES</t>
  </si>
  <si>
    <t>TECNICO</t>
  </si>
  <si>
    <t>ECO-00 RESUMEN DE OFERTA ECONÓMICA</t>
  </si>
  <si>
    <t>FORMULARIO ECONOMICO - ECO-00 - RESUMEN DE OFERTA ECONOMICA</t>
  </si>
  <si>
    <t>ECONOMICO</t>
  </si>
  <si>
    <t>ECO-01 Doc1002164805</t>
  </si>
  <si>
    <t>FORMULARIO ECONOMICO - ECO-01 - ITEMIZADO DE PRESUPUESTO</t>
  </si>
  <si>
    <t>ECO-01A Doc1002164805</t>
  </si>
  <si>
    <t>FORMULARIO ECONOMICO - ECO-01A - ITEMIZADO DE PRESUPUESTO DESGOLSADO</t>
  </si>
  <si>
    <t>ECO-02 UT + GG</t>
  </si>
  <si>
    <t>FORMULARIO ECONOMICO - ECO-02 - ANALISIS DE PRECIOS UNITARIOS</t>
  </si>
  <si>
    <t>ECO-03 USO DE RECURSOS DE COSTO DIRECTO</t>
  </si>
  <si>
    <t>FORMULARIO ECONOMICO - ECO-03 - USO DE RECURSOS DE COSTO DIRECTO</t>
  </si>
  <si>
    <t>ECO-04 DETALLE DE COSTOS INDIRECTOS</t>
  </si>
  <si>
    <t>FORMULARIO ECONOMICO - ECO-04 - DETALLE DE COSTOS INDIRECTOS</t>
  </si>
  <si>
    <t>ECO-05 DETALLE DE REMUNERACIONES DE MANO DE OBRA</t>
  </si>
  <si>
    <t>FORMULARIO ECONOMICO - ECO-05 - DETALLE DE REMUNERACIONES DE MANO DE OBRA</t>
  </si>
  <si>
    <t>ECO-06 JUSTIFICACIÓN VALORES DE MANO DE OBRA</t>
  </si>
  <si>
    <t>FORMULARIO ECONOMICO - ECO-06 - JUSTIFICACIÓN VALORES DE MANO DE OBRA</t>
  </si>
  <si>
    <t>ECO-07 VALORES MAQUINARIA, EQUIPOS Y VEHÍCULOS</t>
  </si>
  <si>
    <t>FORMULARIO ECONOMICO - ECO-07 - VALORES MAQUINARIA, EQUIPOS Y VEHÍCULOS</t>
  </si>
  <si>
    <t>ECO-08 DESGLOSE DE GASTOS GENERALES</t>
  </si>
  <si>
    <t>FORMULARIO ECONOMICO - ECO-08 - DESGLOSE DE GASTOS GENERALES</t>
  </si>
  <si>
    <t>ECO-10 EXCLUSIONES ECONÓMICAS</t>
  </si>
  <si>
    <t>FORMULARIO ECONOMICO - ECO-10 - EXCLUSIONES ECONÓMICAS</t>
  </si>
  <si>
    <t>Formato Consultas Bases Licitación</t>
  </si>
  <si>
    <t>FORMATO CONSULTAS BASES LICITACION</t>
  </si>
  <si>
    <t>CONSULTAS</t>
  </si>
  <si>
    <t>Instrucciones a los proponentes Doc1002164805</t>
  </si>
  <si>
    <t>INSTRUCCIONES A LOS PROPONENTES - MONTAJE ESPESADOR DE CABEZA PMFC -DAND</t>
  </si>
  <si>
    <t>INSTRUCTIVO</t>
  </si>
  <si>
    <t>Resumen Ejecutivo Doc1002164805</t>
  </si>
  <si>
    <t>RESUMEN EJECUTIVO - MONTAJE ESPESADOR DE CABEZA PMFC -DAND</t>
  </si>
  <si>
    <t>TEC-00 Formulario Desviaciones a las Bases</t>
  </si>
  <si>
    <t>FORMULARIO TECNICO - TEC-00 - FORMULARIO DESVIACIONES A LAS BASES</t>
  </si>
  <si>
    <t>TEC-01 Organización del Proponente</t>
  </si>
  <si>
    <t>FORMULARIO TECNICO - TEC-01 - ORGANIZACIÓN DEL PROPONENTE</t>
  </si>
  <si>
    <t>TEC-01A Organización del Proponente para Contrato</t>
  </si>
  <si>
    <t>FORMULARIO TECNICO - TEC-01A - ORGANIZACIÓN DEL PROPONENTE PARA CONTRATO</t>
  </si>
  <si>
    <t>TEC-02 Nómina y Ant Personal Clave</t>
  </si>
  <si>
    <t>FORMULARIO TECNICO - TEC-02 - NOMINA Y ANTECEDENTES PERSONAL CLAVE</t>
  </si>
  <si>
    <t>TEC-02A Curriculum Vitae Personal Clave</t>
  </si>
  <si>
    <t>FORMULARIO TECNICO - TEC-02A - CURRICULUM VITAE PERSONAL CLAVE</t>
  </si>
  <si>
    <t>TEC-03 METODOLOGÍA DE TRABAJO - PLAN DE EJECUCIÓN</t>
  </si>
  <si>
    <t>FORMULARIO TECNICO - TEC-03 - METODOLOGÍA DE TRABAJO - PLAN DE EJECUCIÓN</t>
  </si>
  <si>
    <t>TEC-03A MANUAL DE PROCEDIMIENTOS</t>
  </si>
  <si>
    <t>FORMULARIO TECNICO - TEC-03A - MANUAL DE PROCEDIMIENTOS</t>
  </si>
  <si>
    <t>TEC-04 PROGRAMA DE EJECUCIÓN DE LOS TRABAJOS</t>
  </si>
  <si>
    <t>FORMULARIO TECNICO - TEC-04 - PROGRAMA DE EJECUCIÓN DE LOS TRABAJOS</t>
  </si>
  <si>
    <t>TEC-04A DOTACIÓN MENSUAL - COSTO DIRECTO</t>
  </si>
  <si>
    <t>FORMULARIO TECNICO - TEC-04A - DOTACIÓN MENSUAL - COSTO DIRECTO</t>
  </si>
  <si>
    <t>TEC-04B DOTACIÓN MENSUAL - COSTO INDIRECTO</t>
  </si>
  <si>
    <t>FORMULARIO TECNICO - TEC-04B - DOTACIÓN MENSUAL - COSTO INDIRECTO</t>
  </si>
  <si>
    <t>TEC-04C DOTACIÓN MENSUAL - GASTOS GENERALES</t>
  </si>
  <si>
    <t>FORMULARIO TECNICO - TEC-04C - DOTACIÓN MENSUAL - GASTOS GENERALES</t>
  </si>
  <si>
    <t>TEC-04D RESUMEN ENTREGABLES Y HH TOTALES</t>
  </si>
  <si>
    <t>FORMULARIO TECNICO - TEC-04D - RESUMEN ENTREGABLES Y HH TOTALES</t>
  </si>
  <si>
    <t>TEC-05 LISTADO EQUIPOS Y MAQUINARIAS</t>
  </si>
  <si>
    <t>FORMULARIO TECNICO - TEC-05 - LISTADO EQUIPOS Y MAQUINARIAS</t>
  </si>
  <si>
    <t>TEC-05A PROGRAMA MENSUAL USO DE EQ Y MAQ</t>
  </si>
  <si>
    <t>FORMULARIO TECNICO - TEC-05A - PROGRAMA MENSUAL USO DE EQUIPOS Y MAQUINARIAS</t>
  </si>
  <si>
    <t>TEC-05B LISTADO EQ Y SUM PRINCIPALES</t>
  </si>
  <si>
    <t>FORMULARIO TECNICO - TEC-05B - LISTADO EQUIPOS Y SUMINISTROS PRINCIPALES</t>
  </si>
  <si>
    <t>TEC-05C LISTADO DE CUBICACIONES</t>
  </si>
  <si>
    <t>FORMULARIO TECNICO - TEC-05C - LISTADO DE CUBICACIONES</t>
  </si>
  <si>
    <t>TEC-06 PLAN ASEGURAMIENTO CALIDAD</t>
  </si>
  <si>
    <t>FORMULARIO TECNICO - TEC-06 - PLAN ASEGURAMIENTO CALIDAD</t>
  </si>
  <si>
    <t>TEC-07 PLAN GESTIÓN MA</t>
  </si>
  <si>
    <t>FORMULARIO TECNICO - TEC-07 - PLAN GESTIÓN MEDIO AMBIENTE</t>
  </si>
  <si>
    <t>TEC-08 PLAN GESTIÓN SSO</t>
  </si>
  <si>
    <t>FORMULARIO TECNICO - TEC-08 - PLAN GESTIÓN SSO</t>
  </si>
  <si>
    <t>TEC-09 PLAN GESTIÓN DE RRHH Y RL</t>
  </si>
  <si>
    <t>FORMULARIO TECNICO - TEC-09 - PLAN GESTIÓN DE RRHH Y RRLL</t>
  </si>
  <si>
    <t>TEC-10 LISTADO DE SUBCONTRATISTAS</t>
  </si>
  <si>
    <t>FORMULARIO TECNICO - TEC-10 - LISTADO DE SUBCONTRATISTAS</t>
  </si>
  <si>
    <t>TEC-11 INSTALACIONES DEL PROPONENTE</t>
  </si>
  <si>
    <t>FORMULARIO TECNICO - TEC-11 - INSTALACIONES DEL PROPONENTE</t>
  </si>
  <si>
    <t>TEC-12 Carta Excusa</t>
  </si>
  <si>
    <t>FORMULARIO TECNICO - TEC-12 - CARTA EXCUSA</t>
  </si>
  <si>
    <t>NCC-030_REV02</t>
  </si>
  <si>
    <t>NCC N°30 - MANTENIBILIDAD Y CONFIABILIDAD EN PROYECTOS DE INVERSION</t>
  </si>
  <si>
    <t>NORMA</t>
  </si>
  <si>
    <t>Anexo BT MyC</t>
  </si>
  <si>
    <t>SGPD-07MYC-INSGS-0001</t>
  </si>
  <si>
    <t>INSTRUCTIVO INFORMACIÓN REQUERIDA DE LOS PROVEEDORES DE EQUIPOS PARA EL ANÁLISIS DE MANTENIBILIDAD Y CONFIABILIDAD EN ESTUDIOS Y PROYECTOS</t>
  </si>
  <si>
    <t>Anexo BT MyC/Documentos Proyectos Menores</t>
  </si>
  <si>
    <t>SGPD-07MYC-PROGS-0001</t>
  </si>
  <si>
    <t>PROCEDIMIENTO MANTENIBILIDAD Y CONFIABILIDAD EN ESTUDIOS Y PROYECTOS</t>
  </si>
  <si>
    <t>PROCEDIMIENTO</t>
  </si>
  <si>
    <t>SGPD-07MYC-FRMGS-0001</t>
  </si>
  <si>
    <t>FORMULARIO LISTADO COMPLETO DE REPUESTOS PARA MANTENIMIENTO</t>
  </si>
  <si>
    <t>Anexo BT MyC/Formularios M&amp;C</t>
  </si>
  <si>
    <t>SGPD-07MYC-FRMGS-0002</t>
  </si>
  <si>
    <t>FORMULARIO ÍNDICES DE MANTENIBILIDAD Y CONFIABILIDAD DEL EQUIPO</t>
  </si>
  <si>
    <t>SGPD-07MYC-FRMGS-0003</t>
  </si>
  <si>
    <t>FORMULARIO COSTO ESTIMADO ANUAL DE MANTENIMIENTO</t>
  </si>
  <si>
    <t>SGPD-07MYC-FRMGS-0004</t>
  </si>
  <si>
    <t>FORMULARIO LUBRICANTES RECOMENDADOS DEL EQUIPO SUMINISTRADO</t>
  </si>
  <si>
    <t>SGPD-07MYC-FRMGS-0005</t>
  </si>
  <si>
    <t>PLAN DE MANTENIMIENTO DEL EQUIPO SUMINISTRADO</t>
  </si>
  <si>
    <t>SGPD-07MYC-FRMGS-0006</t>
  </si>
  <si>
    <t>SISTEMAS DE MONITOREO / DETECCIÓN DE FALLAS DEL EQUIPO SUMINISTRADO</t>
  </si>
  <si>
    <t>SGPD-07MYC-FRMGS-0007</t>
  </si>
  <si>
    <t>CAPACITACIÓN REQUERIDA DEL EQUIPO SUMINISTRADO</t>
  </si>
  <si>
    <t>SGPD-07MYC-FRMGS-0008</t>
  </si>
  <si>
    <t>FORMULARIO ASISTENCIA TÉCNICA REQUERIDA EN INSTALACIÓN, PUESTA EN MARCHA Y PRIMER AÑO DE OPERACIÓN</t>
  </si>
  <si>
    <t>SGPD-07MYC-FRMGS-0009</t>
  </si>
  <si>
    <t>FORMULARIO LISTADO DE HERRAMIENTAS / EQUIPOS ESPECIALES RECOMENDADOS</t>
  </si>
  <si>
    <t>SGPD-07MYC-FRMGS-0010</t>
  </si>
  <si>
    <t>FORMULARIO PRUEBAS DE FUNCIONAMIENTO RECOMENDADAS</t>
  </si>
  <si>
    <t>SGPD-07MYC-FRMGS-0011</t>
  </si>
  <si>
    <t>FORMULARIO REFERENCIAS DE EQUIPOS SIMILARES</t>
  </si>
  <si>
    <t>SGPD-07MYC-FRMGS-0012</t>
  </si>
  <si>
    <t>FORMULARIO DOCUMENTACIÓN DEL EQUIPO SUMINISTRADO</t>
  </si>
  <si>
    <t>SGPD-07MYC-FRMGS-0013</t>
  </si>
  <si>
    <t>FORMULARIO CONTENIDO DEL INFORME DEFINICIÓN DE REQUERIMIENTOS DE M&amp;C</t>
  </si>
  <si>
    <t>SGPD-07MYC-FRMGS-0014</t>
  </si>
  <si>
    <t>FORMULARIO CONTENIDO DEL INFORME DE ESTRUCTURA DESCOMPOSICIÓN DE EQUIPOS EDE</t>
  </si>
  <si>
    <t>SGPD-07MYC-FRMGS-0015</t>
  </si>
  <si>
    <t>FORMULARIO CONTENIDO DEL INFORME ESTÁNDARES Y CHECK LIST PARA LA M&amp;C DEL DISEÑO</t>
  </si>
  <si>
    <t>SGPD-07MYC-FRMGS-0016</t>
  </si>
  <si>
    <t>FORMULARIO CONTENIDO DEL INFORME ANÁLISIS DE LA MANTENIBILIDAD Y CONFIABILIDAD</t>
  </si>
  <si>
    <t>SGPD-07MYC-FRMGS-0017</t>
  </si>
  <si>
    <t>FORMULARIO CONTENIDO DEL INFORME DE MODELAMIENTO DE LA CONFIABILIDAD Y DISPONIBILIDAD</t>
  </si>
  <si>
    <t>SGPD-07MYC-FRMGS-0018</t>
  </si>
  <si>
    <t>FORMULARIO CONTENIDO DEL INFORME DE ANÁLISIS FMECA</t>
  </si>
  <si>
    <t>SGPD-07MYC-FRMGS-0019</t>
  </si>
  <si>
    <t>FORMULARIO CONTENIDO DEL INFORME DE MANTENIMIENTO CENTRADO EN LA CONFIABILIDAD (RCM)</t>
  </si>
  <si>
    <t>SGPD-07MYC-FRMGS-0020</t>
  </si>
  <si>
    <t>FORMULARIO CONTENIDO DEL INFORME DE ANÁLISIS DE LAS TAREAS DE MANTENIMIENTO</t>
  </si>
  <si>
    <t>SGPD-07MYC-FRMGS-0021</t>
  </si>
  <si>
    <t>FORMULARIO CONTENIDO DEL INFORME DE ANÁLISIS DE APOYO LOGÍSTICO</t>
  </si>
  <si>
    <t>SGPD-07MYC-FRMGS-0022</t>
  </si>
  <si>
    <t>FORMULARIO CONTENIDO DEL INFORME DE RECURSOS HUMANOS Y CAPACITACIÓN</t>
  </si>
  <si>
    <t>SGPD-07MYC-FRMGS-0023</t>
  </si>
  <si>
    <t>FORMULARIO CONTENIDO DEL INFORME DE MONTO INVERSIONAL PARA EL MANTENIMIENTO</t>
  </si>
  <si>
    <t>SGPD-07MYC-FRMGS-0024</t>
  </si>
  <si>
    <t>FORMULARIO CONTENIDO DEL INFORME PRESUPUESTO OPERACIONAL PARA EL MANTENIMIENTO</t>
  </si>
  <si>
    <t>SGPD-07MYC-FRMGS-0025</t>
  </si>
  <si>
    <t>FORMULARIO CONTENIDO DEL INFORME PLAN DE EJECUCIÓN DE M&amp;C</t>
  </si>
  <si>
    <t>SGPD-07MYC-FRMGS-0026</t>
  </si>
  <si>
    <t>FORMULARIO DESCRIPTORES DE PLANTAS</t>
  </si>
  <si>
    <t>SGPD-07MYC-FRMGS-0027</t>
  </si>
  <si>
    <t>FORMULARIO DESCRIPTORES DE PROCESOS</t>
  </si>
  <si>
    <t>SGPD-07MYC-FRMGS-0028</t>
  </si>
  <si>
    <t>FORMULARIO DESCRIPTORES DE SISTEMAS O AGRUPACIÓN DE EQUIPOS</t>
  </si>
  <si>
    <t>SGPD-07MYC-FRMGS-0029</t>
  </si>
  <si>
    <t>FORMULARIO DESCRIPTORES DE EQUIPOS</t>
  </si>
  <si>
    <t>SGPD-07MYC-FRMGS-0030</t>
  </si>
  <si>
    <t>FORMULARIO DESCRIPTORES DE SISTEMAS DE EQUIPOS</t>
  </si>
  <si>
    <t>SGPD-07MYC-FRMGS-0031</t>
  </si>
  <si>
    <t>FORMULARIO DESCRIPTORES DE COMPONENTES</t>
  </si>
  <si>
    <t>SGPD-07MYC-FRMGS-0032</t>
  </si>
  <si>
    <t>ESTRUCTURA DE DESCOMPOSICIÓN DE EQUIPOS EDE</t>
  </si>
  <si>
    <t>SGPD-07MYC-FRMGS-0033</t>
  </si>
  <si>
    <t>ANÁLISIS DE MANTENIBILIDAD Y CONFIABILIDAD DEL PROYECTO CHECK LIST</t>
  </si>
  <si>
    <t>SGPD-07MYC-FRMGS-0034</t>
  </si>
  <si>
    <t>PLANILLA DATOS HISTORICOS DE DETENCIONES DE EQUIPOS</t>
  </si>
  <si>
    <t>SGPD-07MYC-FRMGS-0035</t>
  </si>
  <si>
    <t>ANÁLISIS SISTEMÁTICO DE MODOS, EFECTOS Y CRITICIDAD DE LAS FALLAS (FMECA)</t>
  </si>
  <si>
    <t>SGPD-07MYC-FRMGS-0036</t>
  </si>
  <si>
    <t>ANÁLISIS DE RCM</t>
  </si>
  <si>
    <t>SGPD-07MYC-FRMGS-0037</t>
  </si>
  <si>
    <t>ANÁLISIS DE TAREAS DE MANTENIMIENTO</t>
  </si>
  <si>
    <t>BT ANEXO 1 G. CALIDAD Rev 0</t>
  </si>
  <si>
    <t>BT-ANEXO 1 GESTIÓN  DE CALIDAD - “MONTAJE ESPESADOR DE CABEZA, PMFC-DAND”</t>
  </si>
  <si>
    <t>QAQC</t>
  </si>
  <si>
    <t>Anexos</t>
  </si>
  <si>
    <t>BT ANEXO 2 G, SSOYMA Rev 0</t>
  </si>
  <si>
    <t xml:space="preserve">BEC- ANEXO 2 - GESTION DE SEGURIDAD, SALUD OCUPACIONAL Y MEDIO AMBIENTE </t>
  </si>
  <si>
    <t>SSO</t>
  </si>
  <si>
    <t>BT ANEXO 3 G. RRLL Rev 0</t>
  </si>
  <si>
    <t>BT-ANEXO 3 - GESTION DE RELACIONES LABORALES</t>
  </si>
  <si>
    <t>RRLL</t>
  </si>
  <si>
    <t>BT ANEXO 4 G. PEM Rev 0</t>
  </si>
  <si>
    <t>BT-ANEXO 4 - GESTIÓN DE PUESTA EN MARCHA</t>
  </si>
  <si>
    <t>BT ANEXO 5 MyC Rev 0</t>
  </si>
  <si>
    <t>BASES TECNICAS - ANEXO 5 - GESTIÓN DE MANTENIBILIDAD Y CONFIABILIDAD</t>
  </si>
  <si>
    <t>BT ANEXO 6  Listado Planos y documentos</t>
  </si>
  <si>
    <t>LISTADO DE PLANOS Y DOCUMENTOS</t>
  </si>
  <si>
    <t>01_BAG R5</t>
  </si>
  <si>
    <t>BASES ADMINISTRATIVAS GENERALES</t>
  </si>
  <si>
    <t>ADMINISTRACION</t>
  </si>
  <si>
    <t>Bases Administrativas</t>
  </si>
  <si>
    <t>ANEXO BAG LABORAL 2023</t>
  </si>
  <si>
    <t>OBLIGACIONES RELATIVAS A LOS TRABAJADORES DE LA CONTRAPARTE</t>
  </si>
  <si>
    <t>BEC CODELCO Doc1002164805</t>
  </si>
  <si>
    <t>BASES ESPECIALES PARA CONTRATOS DE CONSTRUCCIÓN</t>
  </si>
  <si>
    <t>SGPD-09ASE-BASGS-0001 _3 BASES REQUISITOS DE CALIDAD PARA CONTRATOS</t>
  </si>
  <si>
    <t>BASES REQUISITOS DE CALIDAD PARA CONTRATOS</t>
  </si>
  <si>
    <t>Documentacion Calidad</t>
  </si>
  <si>
    <t>SGPD-09ASE-PROGS-0001_1 GESTIÓN DE AUDITORIAS A EMPRESAS</t>
  </si>
  <si>
    <t>PROCEDIMIENTO GESTIÓN DE AUDITORÍAS A EMPRESAS COLABORADORAS</t>
  </si>
  <si>
    <t>SGPD-09ASE-PROGS-0002_1 GESTIÓN DE NO CONFORMIDADES</t>
  </si>
  <si>
    <t>PROCEDIMIENTO GESTIÓN DE NO CONFORMIDADES</t>
  </si>
  <si>
    <t>SGPD-09CON-BASGS-0001_1 BASES REQUISITOS DE CALIDAD PARA CALIFICACIÓN DE LABORATORIOS DE  AUTOCONTROL EN OBRA</t>
  </si>
  <si>
    <t>BASES REQUISITOS DE CALIDAD PARA CALIFICACIÓN DE LABORATORIOS DE AUTOCONTROL EN OBRA</t>
  </si>
  <si>
    <t>SGPD-09CON-BASGS-0005_1 BASES REQUISITOS PARA CALIBRACIÓN DE EQUIPOS DE INSPECCIÓN, MEDICIÓN Y ENSAYOS</t>
  </si>
  <si>
    <t>BASES REQUISITOS PARA CALIBRACIÓN DE EQUIPOS E INSTRUMENTOS DE INSPECCIÓN, MEDICIÓN Y ENSAYOS</t>
  </si>
  <si>
    <t>SGPD-09CON-BASGS-0006_1 BASES REQUISITOS PARA LA ELABORACIÓN DE PROTOCOLOS Y MATRIZ DE</t>
  </si>
  <si>
    <t>BASES REQUISITOS PARA LA ELABORACIÓN DE PROTOCOLOS Y MATRIZ DE PROTOCOLOS</t>
  </si>
  <si>
    <t>SGPD-09CON-BASGS-0007_1 REQUISITOS PARA CAMINATAS INSPECCIONES Y CIERRE DE DETALLES DE TERMINACIÓN</t>
  </si>
  <si>
    <t>BASES DE REQUISITOS PARA CAMINATAS, INSPECCIONES Y CIERRE DE DETALLES DE TERMINACIÓN</t>
  </si>
  <si>
    <t>SGPD-09CON-BASGS-0008_1 BASES ARMADO DE PAQUETES DE TRASPASO POR CONSTRUCCIÓN</t>
  </si>
  <si>
    <t>BASES ARMADO DE PAQUETES DE TRASPASO POR CONSTRUCCIÓN</t>
  </si>
  <si>
    <t>SGPD-16GCD-INSGS-0001_2 INSTRUCTIVO CODIFICACIÓN DE DOCUMENTOS PARA PROYECTOS DIVISIONALES</t>
  </si>
  <si>
    <t>INSTRUCTIVO CODIFICACIÓN DE DOCUMENTOS PARA PROYECTOS DIVISIONALES</t>
  </si>
  <si>
    <t>02.- 14-02-24</t>
  </si>
  <si>
    <t>El evento RFP MONTAJE ESPESADOR DE CABEZA PMFC -DAND ha sido reducido en 7 días.</t>
  </si>
  <si>
    <t>CORREO RESPALDO - EL EVENTO RFP MONTAJE ESPESADOR DE CABEZA PMFC -DAND HA SIDO REDUCIDO EN 7 DÍAS.</t>
  </si>
  <si>
    <t>Modificación Itinerario del proceso y nuevos docuentos _ Doc1002164805 _ MONTAJE ESPESADOR DE CABEZA PMFC -DAND</t>
  </si>
  <si>
    <t>CORREO RESPALDO - MODIFICACIÓN ITINERARIO DEL PROCESO Y NUEVOS DOCUENTOS _ DOC1002164805 _ MONTAJE ESPESADOR DE CABEZA PMFC -DAND</t>
  </si>
  <si>
    <t>Anexo 6 Listado Planos y documentos (rev 31-01-2024)</t>
  </si>
  <si>
    <t>LISTADO DE PLANOS Y DOCUMENTOS (REV. 31-01-2024)</t>
  </si>
  <si>
    <t>F039SS01_15-01-2024 (6)</t>
  </si>
  <si>
    <t>F039SS01</t>
  </si>
  <si>
    <t>MODELO 3D - F039SS01_15-01-2024</t>
  </si>
  <si>
    <t>SI</t>
  </si>
  <si>
    <t>01.Anexo BT MyC</t>
  </si>
  <si>
    <t>01.Anexo BT MyC/Documentos proyectos Menores</t>
  </si>
  <si>
    <t>02.Anexos</t>
  </si>
  <si>
    <t>03umentación Calidad</t>
  </si>
  <si>
    <t>4600022667-001-03350-100AR-00001_(Rev. 1)_(v3.0_CURRENT)_(Main Content)</t>
  </si>
  <si>
    <t>4600022667-001-03350-100AR-00001</t>
  </si>
  <si>
    <t>DISPOSICIÓN GENERAL PLANTA DISPOSICIÓN GENERAL Y CUBIERTA CASA DE CAMBIO</t>
  </si>
  <si>
    <t>ARQUITECTURA</t>
  </si>
  <si>
    <t>AR_01</t>
  </si>
  <si>
    <t>4600022667-001-03350-100AR-00002_(Rev. 2)_(v4.0_CURRENT)_(Main Content)</t>
  </si>
  <si>
    <t>4600022667-001-03350-100AR-00002</t>
  </si>
  <si>
    <t>DISPOSICIÓN GENERAL PLANTA DISPOSICIÓN GENERAL Y CUBIERTA BODEGA DE ALMACENAMIENTO INDUSTRIAL</t>
  </si>
  <si>
    <t>4600022667-001-03350-100AR-00003_(Rev. 2)_(v4.0_CURRENT)_(Main Content)</t>
  </si>
  <si>
    <t>4600022667-001-03350-100AR-00003</t>
  </si>
  <si>
    <t>DISPOSICIÓN GENERAL PLANTA DISPOSICIÓN GENERAL Y CUBIERTA ESTACIÓN DE TRANSFERENCIA DE RESIDUOS</t>
  </si>
  <si>
    <t>4600022667-001-03350-300AR-00001_(Rev. 2)_(v4.0_CURRENT)_(Main Content)</t>
  </si>
  <si>
    <t>4600022667-001-03350-300AR-00001</t>
  </si>
  <si>
    <t>DISPOSICIÓN GENERAL ELEVACIONES Y SECCIONES CASA DE CAMBIO</t>
  </si>
  <si>
    <t>4600022667-001-03350-300AR-00002_(Rev. 2)_(v4.0_CURRENT)_(Main Content)</t>
  </si>
  <si>
    <t>4600022667-001-03350-300AR-00002</t>
  </si>
  <si>
    <t>DISPOSICIÓN GENERAL ELEVACIONES Y SECCIONES BODEGA DE ALMACENAMIENTO INDUSTRIAL</t>
  </si>
  <si>
    <t>4600022667-001-03350-300AR-00003_(Rev. 1)_(v3.0_CURRENT)_(Main Content)</t>
  </si>
  <si>
    <t>4600022667-001-03350-300AR-00003</t>
  </si>
  <si>
    <t>DISPOSICIÓN GENERAL ELEVACIONES Y SECCIONES ESTACIÓN DE TRANSFERENCIA DE RESIDUOS</t>
  </si>
  <si>
    <t>4600022667-001-03350-300AR-00004_(Rev. 0)_(v2.0_CURRENT)_(Main Content)</t>
  </si>
  <si>
    <t>4600022667-001-03350-300AR-00004</t>
  </si>
  <si>
    <t>SALA DE CAMBIO PLANTA Y SECCIONES</t>
  </si>
  <si>
    <t>4600022667-001-03350-300AR-00005_(Rev. 0)_(v2.0_CURRENT)_(Main Content)</t>
  </si>
  <si>
    <t>4600022667-001-03350-300AR-00005</t>
  </si>
  <si>
    <t>EST. TRANSFERENCIA RESIDUOS - TRANSITORIA SANEAMIENTO - PLANTA Y SECCIONES</t>
  </si>
  <si>
    <t>4600022667-001-03350-ESPAR-00001_(Rev. 0)_(v2.0_CURRENT)_(Main Content)</t>
  </si>
  <si>
    <t>4600022667-001-03350-ESPAR-00001</t>
  </si>
  <si>
    <t>ESPECIFICACIONES TÉCNICAS DE ARQUITECTURA - SALA DE CAMBIO</t>
  </si>
  <si>
    <t>4600022667-001-03350-ESPAR-00002_(Rev. 0)_(v3.0_CURRENT)_(Main Content)</t>
  </si>
  <si>
    <t>4600022667-001-03350-ESPAR-00002</t>
  </si>
  <si>
    <t>ESPECIFICACIONES TÉCNICAS DE ARQUITECTURA - ESTACIÓN DE TRANSFERENCIA DE RESIDUOS</t>
  </si>
  <si>
    <t>4600022667-001-03350-ESPAR-00003_(Rev. 0)_(v3.0_CURRENT)_(Main Content)</t>
  </si>
  <si>
    <t>4600022667-001-03350-ESPAR-00003</t>
  </si>
  <si>
    <t>ESPECIFICACIONES TÉCNICA DE ARQUITECTURA - BODEGA INDUSTRIAL</t>
  </si>
  <si>
    <t>4600022667-001-03350-002AT-00001_(Rev. 0)_(v2.0_CURRENT)_(Main Content)</t>
  </si>
  <si>
    <t>4600022667-001-03350-002AT-00001</t>
  </si>
  <si>
    <t>DETALLES DE MONTAJE LIT / LSHL / FIT</t>
  </si>
  <si>
    <t>AUTOMATIZACION</t>
  </si>
  <si>
    <t>AT_01</t>
  </si>
  <si>
    <t>4600022667-001-03350-002AT-00002_(Rev. 0)_(v2.0_CURRENT)_(Main Content)</t>
  </si>
  <si>
    <t>4600022667-001-03350-002AT-00002</t>
  </si>
  <si>
    <t>DETALLES DE MONTAJE PIT / PI</t>
  </si>
  <si>
    <t>4600022667-001-03350-002AT-00003_(Rev. 0)_(v2.0_CURRENT)_(Main Content)</t>
  </si>
  <si>
    <t>4600022667-001-03350-002AT-00003</t>
  </si>
  <si>
    <t>DETALLES DE MONTAJE DIT / FIT</t>
  </si>
  <si>
    <t>4600022667-001-03350-105AT-00001_(Rev. B)_(v1.0_CURRENT)_(Main Content)</t>
  </si>
  <si>
    <t>4600022667-001-03350-105AT-00001</t>
  </si>
  <si>
    <t>UBICACIÓN DE INSTRUMENTOS ESPESADOR DE CONCENTRADO</t>
  </si>
  <si>
    <t>B</t>
  </si>
  <si>
    <t>4600022667-001-03350-105AT-00002_(Rev. B)_(v1.0_CURRENT)_(Main Content)</t>
  </si>
  <si>
    <t>4600022667-001-03350-105AT-00002</t>
  </si>
  <si>
    <t>UBICACIÓN DE EQUIPOS DE INSTRUMENTACIÓN EN SALA ELÉCTRICA</t>
  </si>
  <si>
    <t>4600022667-001-03350-105AT-00003_(Rev. B)_(v1.0_CURRENT)_(Main Content)</t>
  </si>
  <si>
    <t>4600022667-001-03350-105AT-00003</t>
  </si>
  <si>
    <t>UBICACIÓN DE INSTRUMENTOS TORRE DE CAJONES</t>
  </si>
  <si>
    <t>4600022667-001-03350-202AT-00001_(Rev. 2)_(v4.0_CURRENT)_(Main Content)</t>
  </si>
  <si>
    <t>4600022667-001-03350-202AT-00001</t>
  </si>
  <si>
    <t>DIAGRAMA UNILINEAL TABLERO 03350-TDI-001</t>
  </si>
  <si>
    <t>4600022667-001-03350-202AT-00002_(Rev. 2)_(v4.0_CURRENT)_(Main Content)</t>
  </si>
  <si>
    <t>4600022667-001-03350-202AT-00002</t>
  </si>
  <si>
    <t>DIAGRAMA UNILINEAL TABLERO 03350-TDI-002</t>
  </si>
  <si>
    <t>4600022667-001-03350-208AT-00001_(Rev. 0)_(v2.0_CURRENT)_(Main Content)</t>
  </si>
  <si>
    <t>4600022667-001-03350-208AT-00001</t>
  </si>
  <si>
    <t>DIAGRAMA DE CONEXIONADO SISTEMA DE CCTV - LÁMINA 1 DE 2</t>
  </si>
  <si>
    <t>4600022667-001-03350-221AT-00001_(Rev. 2)_(v4.0_CURRENT)_(Main Content)</t>
  </si>
  <si>
    <t>4600022667-001-03350-221AT-00001</t>
  </si>
  <si>
    <t>DIAGRAMA DE BLOQUES SISTEMA DE CONTROL Y CCTV</t>
  </si>
  <si>
    <t>4600022667-001-03350-221AT-00002_(Rev. B)_(v2.0_CURRENT)_(Main Content)</t>
  </si>
  <si>
    <t>4600022667-001-03350-221AT-00002</t>
  </si>
  <si>
    <t>DIOSPOSICION TABLEROS TCN Y VÁLVULAS AUTOMATIZADAS</t>
  </si>
  <si>
    <t>4600022667-001-03350-221AT-00003_(Rev. 0)_(v2.0_CURRENT)_(Main Content)</t>
  </si>
  <si>
    <t>4600022667-001-03350-221AT-00003</t>
  </si>
  <si>
    <t>DIAGRAMA DE SEGMENTOS RED MUDBUS TCP</t>
  </si>
  <si>
    <t>4600022667-001-03350-221AT-00004_(Rev. N)_(v2.0_CURRENT)_(Main Content)</t>
  </si>
  <si>
    <t>4600022667-001-03350-221AT-00004</t>
  </si>
  <si>
    <t>DIAGRAMA DE SEGMENTOS RED PROFIBUS DP</t>
  </si>
  <si>
    <t>N</t>
  </si>
  <si>
    <t>ANULADO</t>
  </si>
  <si>
    <t>4600022667-001-03350-226AT-00001_(Rev. B)_(v1.0_CURRENT)_(Main Content)</t>
  </si>
  <si>
    <t>4600022667-001-03350-226AT-00001</t>
  </si>
  <si>
    <t>DIAG. LÓGICOS DE CONTROL MANEJO DE DERRAMES - LÁM 001</t>
  </si>
  <si>
    <t>4600022667-001-03350-226AT-00002_(Rev. B)_(v1.0_CURRENT)_(Main Content)</t>
  </si>
  <si>
    <t>4600022667-001-03350-226AT-00002</t>
  </si>
  <si>
    <t>DIAG. LÓGICOS DE CONTROL AGUA DE SELLO - LÁM 002</t>
  </si>
  <si>
    <t>4600022667-001-03350-226AT-00003_(Rev. B)_(v1.0_CURRENT)_(Main Content)</t>
  </si>
  <si>
    <t>4600022667-001-03350-226AT-00003</t>
  </si>
  <si>
    <t>DIAG. LÓGICOS DE CONTROL VÁLVULAS OVERFLOW - LÁM 003</t>
  </si>
  <si>
    <t>4600022667-001-03350-226AT-00004_(Rev. B)_(v1.0_CURRENT)_(Main Content)</t>
  </si>
  <si>
    <t>4600022667-001-03350-226AT-00004</t>
  </si>
  <si>
    <t>DIAG. LÓGICOS DE CONTROL AGUA DE SELLO - LÁM 004</t>
  </si>
  <si>
    <t>4600022667-001-03350-226AT-00005_(Rev. B)_(v1.0_CURRENT)_(Main Content)</t>
  </si>
  <si>
    <t>4600022667-001-03350-226AT-00005</t>
  </si>
  <si>
    <t>DIAG. LÓGICOS DE CONTROL AGUA DE SELLO - LÁM 005</t>
  </si>
  <si>
    <t>4600022667-001-03350-226AT-00006_(Rev. B)_(v1.0_CURRENT)_(Main Content)</t>
  </si>
  <si>
    <t>4600022667-001-03350-226AT-00006</t>
  </si>
  <si>
    <t>DIAG. LÓGICOS DE CONTROL TRANSP. CONCENTRADO UNDERFLOW - LÁM 006</t>
  </si>
  <si>
    <t>4600022667-001-03350-226AT-00007_(Rev. B)_(v1.0_CURRENT)_(Main Content)</t>
  </si>
  <si>
    <t>4600022667-001-03350-226AT-00007</t>
  </si>
  <si>
    <t>DIAG. LÓGICOS DE CONTROL TRANSP. CONCENTRADO UNDERFLOW - LÁM 007</t>
  </si>
  <si>
    <t>4600022667-001-03350-226AT-00008_(Rev. B)_(v1.0_CURRENT)_(Main Content)</t>
  </si>
  <si>
    <t>4600022667-001-03350-226AT-00008</t>
  </si>
  <si>
    <t>DIAG. LÓGICOS DE CONTROL TRANSP. CONCENTRADO UNDERFLOW - LÁM 008</t>
  </si>
  <si>
    <t>4600022667-001-03350-226AT-00009_(Rev. B)_(v1.0_CURRENT)_(Main Content)</t>
  </si>
  <si>
    <t>4600022667-001-03350-226AT-00009</t>
  </si>
  <si>
    <t>DIAG. LÓGICOS DE CONTROL TRANSP. CONCENTRADO UNDERFLOW - LÁM 009</t>
  </si>
  <si>
    <t>4600022667-001-03350-226AT-00010_(Rev. B)_(v1.0_CURRENT)_(Main Content)</t>
  </si>
  <si>
    <t>4600022667-001-03350-226AT-00010</t>
  </si>
  <si>
    <t>DIAG. LÓGICOS DE CONTROL TRANSP. CONCENTRADO UNDERFLOW - LÁM 010</t>
  </si>
  <si>
    <t>4600022667-001-03350-226AT-00011_(Rev. B)_(v1.0_CURRENT)_(Main Content)</t>
  </si>
  <si>
    <t>4600022667-001-03350-226AT-00011</t>
  </si>
  <si>
    <t>DIAG. LÓGICOS DE CONTROL TRANSP. CONCENTRADO UNDERFLOW - LÁM 011</t>
  </si>
  <si>
    <t>4600022667-001-03350-226AT-00012_(Rev. B)_(v1.0_CURRENT)_(Main Content)</t>
  </si>
  <si>
    <t>4600022667-001-03350-226AT-00012</t>
  </si>
  <si>
    <t>DIAG. LÓGICOS DE CONTROL TRANSP. CONCENTRADO UNDERFLOW - LÁM 012</t>
  </si>
  <si>
    <t>4600022667-001-03350-226AT-00013_(Rev. B)_(v1.0_CURRENT)_(Main Content)</t>
  </si>
  <si>
    <t>4600022667-001-03350-226AT-00013</t>
  </si>
  <si>
    <t>DIAG. LÓGICOS DE CONTROL TRANSP. CONCENTRADO UNDERFLOW - LÁM 013</t>
  </si>
  <si>
    <t>4600022667-001-03350-226AT-00014_(Rev. B)_(v1.0_CURRENT)_(Main Content)</t>
  </si>
  <si>
    <t>4600022667-001-03350-226AT-00014</t>
  </si>
  <si>
    <t>DIAG. LÓGICOS DE CONTROL TRANSP. CONCENTRADO UNDERFLOW - LÁM 014</t>
  </si>
  <si>
    <t>4600022667-001-03350-226AT-00015_(Rev. B)_(v1.0_CURRENT)_(Main Content)</t>
  </si>
  <si>
    <t>4600022667-001-03350-226AT-00015</t>
  </si>
  <si>
    <t>DIAG. LÓGICOS DE CONTROL TRANSP. CONCENTRADO UNDERFLOW - LÁM 015</t>
  </si>
  <si>
    <t>4600022667-001-03350-227AT-00001_(Rev. 1)_(v3.0_CURRENT)_(Main Content)</t>
  </si>
  <si>
    <t>4600022667-001-03350-227AT-00001</t>
  </si>
  <si>
    <t>DIAGRAMA DE LAZO 03351-FIT-1081 / HV-1084</t>
  </si>
  <si>
    <t>4600022667-001-03350-227AT-00002_(Rev. 1)_(v3.0_CURRENT)_(Main Content)</t>
  </si>
  <si>
    <t>4600022667-001-03350-227AT-00002</t>
  </si>
  <si>
    <t>DIAGRAMA DE LAZO 03351-FIT-1082 / HV-1085</t>
  </si>
  <si>
    <t>4600022667-001-03350-227AT-00004_(Rev. 1)_(v3.0_CURRENT)_(Main Content)</t>
  </si>
  <si>
    <t>4600022667-001-03350-227AT-00004</t>
  </si>
  <si>
    <t>DIAGRAMA DE LAZO 03351-LSHL-1041 / BVT-001, 03351-LIT-1031</t>
  </si>
  <si>
    <t>4600022667-001-03350-227AT-00005_(Rev. 0)_(v2.0_CURRENT)_(Main Content)</t>
  </si>
  <si>
    <t>4600022667-001-03350-227AT-00005</t>
  </si>
  <si>
    <t>DIAGRAMA DE LAZO 03351-FIT-1057 / DIT-1058</t>
  </si>
  <si>
    <t>4600022667-001-03350-227AT-00006_(Rev. 0)_(v2.0_CURRENT)_(Main Content)</t>
  </si>
  <si>
    <t>4600022667-001-03350-227AT-00006</t>
  </si>
  <si>
    <t>DIAGRAMA DE LAZO 03351-FIT-1067 / DIT-1068</t>
  </si>
  <si>
    <t>4600022667-001-03350-227AT-00007_(Rev. 1)_(v3.0_CURRENT)_(Main Content)</t>
  </si>
  <si>
    <t>4600022667-001-03350-227AT-00007</t>
  </si>
  <si>
    <t>DIAGRAMA DE LAZO 03351-PIT-1056 / VDF-001</t>
  </si>
  <si>
    <t>4600022667-001-03350-227AT-00008_(Rev. 1)_(v3.0_CURRENT)_(Main Content)</t>
  </si>
  <si>
    <t>4600022667-001-03350-227AT-00008</t>
  </si>
  <si>
    <t>DIAGRAMA DE LAZO 03351-PIT-1066 / VDF-002</t>
  </si>
  <si>
    <t>4600022667-001-03350-227AT-00009_(Rev. 1)_(v3.0_CURRENT)_(Main Content)</t>
  </si>
  <si>
    <t>4600022667-001-03350-227AT-00009</t>
  </si>
  <si>
    <t>DIAGRAMA DE LAZO 03351-PIT-1076 / VDF-003</t>
  </si>
  <si>
    <t>4600022667-001-03350-227AT-00010_(Rev. 1)_(v3.0_CURRENT)_(Main Content)</t>
  </si>
  <si>
    <t>4600022667-001-03350-227AT-00010</t>
  </si>
  <si>
    <t>DIAGRAMA DE LAZO 03351-LIT-1032 / HV-1026, 03351-PIT-1140</t>
  </si>
  <si>
    <t>4600022667-001-03350-227AT-00011_(Rev. 1)_(v3.0_CURRENT)_(Main Content)</t>
  </si>
  <si>
    <t>4600022667-001-03350-227AT-00011</t>
  </si>
  <si>
    <t>DIAGRAMA DE LAZO 03351-PIT-1080 / PV-1080 / BOC-004 / BOC-005</t>
  </si>
  <si>
    <t>4600022667-001-03350-CRDAT-00001_(Rev. 0)_(v2.0_CURRENT)_(Main Content)</t>
  </si>
  <si>
    <t>4600022667-001-03350-CRDAT-00001</t>
  </si>
  <si>
    <t>CRITERIO DE DISEÑO INSTRUMENTACIÓN</t>
  </si>
  <si>
    <t>4600022667-001-03350-CUBAT-00001_(Rev. 0)_(v2.0_CURRENT)_(Main Content)</t>
  </si>
  <si>
    <t>4600022667-001-03350-CUBAT-00001</t>
  </si>
  <si>
    <t>CUBICACIÓN DE MATERIALES DE INSTRUMENTACIÓN</t>
  </si>
  <si>
    <t>4600022667-001-03350-ESPAT-00001_(Rev. 0)_(v2.0_CURRENT)_(Main Content)</t>
  </si>
  <si>
    <t>4600022667-001-03350-ESPAT-00001</t>
  </si>
  <si>
    <t>ESPECIFICACIÓN TÉCNICA INSTRUMENTOS DE TERRENO</t>
  </si>
  <si>
    <t>4600022667-001-03350-ESPAT-00005_(Rev. 1)_(v4.0_CURRENT)_(Main Content)</t>
  </si>
  <si>
    <t>4600022667-001-03350-ESPAT-00005</t>
  </si>
  <si>
    <t>ESPECIFICACIÓN TÉCNICA EQUIPOS DE CONTROL</t>
  </si>
  <si>
    <t>4600022667-001-03350-HDDAT-00001_(Rev. 1)_(v3.0_CURRENT)_(Main Content)</t>
  </si>
  <si>
    <t>4600022667-001-03350-HDDAT-00001</t>
  </si>
  <si>
    <t>HOJA DE DATOS INSTRUMENTOS DE NIVEL</t>
  </si>
  <si>
    <t>4600022667-001-03350-HDDAT-00002_(Rev. 1)_(v4.0_CURRENT)_(Main Content)</t>
  </si>
  <si>
    <t>4600022667-001-03350-HDDAT-00002</t>
  </si>
  <si>
    <t>HOJA DE DATOS SISTEMA DE CONTROL</t>
  </si>
  <si>
    <t>4600022667-001-03350-HDDAT-00003_(Rev. 1)_(v4.0_CURRENT)_(Main Content)</t>
  </si>
  <si>
    <t>4600022667-001-03350-HDDAT-00003</t>
  </si>
  <si>
    <t>HOJA DE DATOS INSTRUMENTOS DE PRESIÓN</t>
  </si>
  <si>
    <t>4600022667-001-03350-HDDAT-00004_(Rev. 1)_(v4.0_CURRENT)_(Main Content)</t>
  </si>
  <si>
    <t>4600022667-001-03350-HDDAT-00004</t>
  </si>
  <si>
    <t>HOJA DE DATOS INSTRUMENTOS DE FLUJO</t>
  </si>
  <si>
    <t>4600022667-001-03350-HDDAT-00005_(Rev. 1)_(v3.0_CURRENT)_(Main Content)</t>
  </si>
  <si>
    <t>4600022667-001-03350-HDDAT-00005</t>
  </si>
  <si>
    <t>HOJA DE DATOS EQUIPOS DE CCTV</t>
  </si>
  <si>
    <t>4600022667-001-03350-HDDAT-00007_(Rev. 1)_(v3.0_CURRENT)_(Main Content)</t>
  </si>
  <si>
    <t>4600022667-001-03350-HDDAT-00007</t>
  </si>
  <si>
    <t>HOJA DE DATOS EQUIPOS DE COMUNICACIÓN</t>
  </si>
  <si>
    <t>4600022667-001-03350-HDDAT-00008_(Rev. 0)_(v2.0_CURRENT)_(Main Content)</t>
  </si>
  <si>
    <t>4600022667-001-03350-HDDAT-00008</t>
  </si>
  <si>
    <t>HOJA DE DATOS TABLEROS DE CONTROL NEUMÁTICO</t>
  </si>
  <si>
    <t>4600022667-001-03350-INFAT-00001_(Rev. 0)_(v2.0_CURRENT)_(Main Content)</t>
  </si>
  <si>
    <t>4600022667-001-03350-INFAT-00001</t>
  </si>
  <si>
    <t>ACTUALIZACIÓN DE FILOSOFÍA DE OPERACIÓN Y CONTROL</t>
  </si>
  <si>
    <t>4600022667-001-03350-LSTAT-00001_(Rev. 0)_(v3.0_CURRENT)_(Main Content)</t>
  </si>
  <si>
    <t>4600022667-001-03350-LSTAT-00001</t>
  </si>
  <si>
    <t>LISTADO DE CIRCUITOS</t>
  </si>
  <si>
    <t>4600022667-001-03350-LSTAT-00002_(Rev. 1)_(v4.0_CURRENT)_(Main Content)</t>
  </si>
  <si>
    <t>4600022667-001-03350-LSTAT-00002</t>
  </si>
  <si>
    <t>LISTADO DE ENTRADAS Y SALIDAS</t>
  </si>
  <si>
    <t>4600022667-001-03350-LSTAT-00003_(Rev. 1)_(v4.0_CURRENT)_(Main Content)</t>
  </si>
  <si>
    <t>4600022667-001-03350-LSTAT-00003</t>
  </si>
  <si>
    <t>LISTADO DE INSTRUMENTOS</t>
  </si>
  <si>
    <t>4600022667-001-03350-LSTAT-00005_(Rev. 1)_(v3.0_CURRENT)_(Main Content)</t>
  </si>
  <si>
    <t>4600022667-001-03350-LSTAT-00005</t>
  </si>
  <si>
    <t>LISTADO DE TIE IN INSTRUMENTACIÓN</t>
  </si>
  <si>
    <t>4600022667-001-03350-102CA-00006_(Rev. B)_(v2.0_CURRENT)_(Main Content)</t>
  </si>
  <si>
    <t>4600022667-001-03350-102CA-00006</t>
  </si>
  <si>
    <t>AGUA DE PROCESO - DISPOSICIÓN GENERAL SECCIONES Y DETALLES</t>
  </si>
  <si>
    <t>CAÑERIAS</t>
  </si>
  <si>
    <t>CA_01</t>
  </si>
  <si>
    <t>4600022667-001-03350-102CA-00008_(Rev. B)_(v2.0_CURRENT)_(Main Content)</t>
  </si>
  <si>
    <t>4600022667-001-03350-102CA-00008</t>
  </si>
  <si>
    <t>AGUA RECUPERADA - DISPOSICIÓN GENERAL SECCIONES Y DETALLES</t>
  </si>
  <si>
    <t>4600022667-001-03350-102CA-00009_(Rev. B)_(v2.0_CURRENT)_(Main Content)</t>
  </si>
  <si>
    <t>4600022667-001-03350-102CA-00009</t>
  </si>
  <si>
    <t>CONCENTRADO CU-MO - DISPOSICIÓN GENERAL (1 DE 2) PLANTA</t>
  </si>
  <si>
    <t>4600022667-001-03350-102CA-00011_(Rev. B)_(v2.0_CURRENT)_(Main Content)</t>
  </si>
  <si>
    <t>4600022667-001-03350-102CA-00011</t>
  </si>
  <si>
    <t>LÍNEAS DE CONCENTRADO CU-MO - DISPOSICIÓN GENERAL SECCIONES Y DETALLES (1 DE 3)</t>
  </si>
  <si>
    <t>4600022667-001-03350-102CA-00012_(Rev. B)_(v2.0_CURRENT)_(Main Content)</t>
  </si>
  <si>
    <t>4600022667-001-03350-102CA-00012</t>
  </si>
  <si>
    <t>LÍNEAS DE CONCENTRADO CU-MO - DISPOSICIÓN GENERAL SECCIONES Y DETALLES (2 DE 3)</t>
  </si>
  <si>
    <t>4600022667-001-03350-102CA-00013_(Rev. B)_(v1.0_CURRENT)_(Main Content)</t>
  </si>
  <si>
    <t>4600022667-001-03350-102CA-00013</t>
  </si>
  <si>
    <t>RED DE INCENDIO - DISPOSICIÓN GENERAL PLANTA</t>
  </si>
  <si>
    <t>4600022667-001-03350-102CA-00014_(Rev. B)_(v1.0_CURRENT)_(Main Content)</t>
  </si>
  <si>
    <t>4600022667-001-03350-102CA-00014</t>
  </si>
  <si>
    <t>RED DE INCENDIO - DISPOSICIÓN GENERAL SECCIONES Y DETALLES</t>
  </si>
  <si>
    <t>4600022667-001-03350-102CA-00015_(Rev. B)_(v1.0_CURRENT)_(Main Content)</t>
  </si>
  <si>
    <t>4600022667-001-03350-102CA-00015</t>
  </si>
  <si>
    <t>LÍNEAS COLAS PRIMERA LIMPIEZA PLANTA</t>
  </si>
  <si>
    <t>4600022667-001-03350-201CA-00001_(Rev. 0)_(v2.0_CURRENT)_(Main Content)</t>
  </si>
  <si>
    <t>4600022667-001-03350-201CA-00001</t>
  </si>
  <si>
    <t>P&amp;ID - SIMBOLOGÍA Y NOMENCLATURA MECÁNICA PIPING</t>
  </si>
  <si>
    <t>PROCESOS</t>
  </si>
  <si>
    <t>4600022667-001-03350-201CA-00002_(Rev. 1)_(v3.0_CURRENT)_(Main Content)</t>
  </si>
  <si>
    <t>4600022667-001-03350-201CA-00002</t>
  </si>
  <si>
    <t>P&amp;ID - ESPESADOR DE CONCENTRADO COLECTIVO</t>
  </si>
  <si>
    <t>4600022667-001-03350-201CA-00003_(Rev. 1)_(v3.0_CURRENT)_(Main Content)</t>
  </si>
  <si>
    <t>4600022667-001-03350-201CA-00003</t>
  </si>
  <si>
    <t>P&amp;ID - BOMBAS UNDERFLOW ESPESADOR</t>
  </si>
  <si>
    <t>4600022667-001-03350-201CA-00004_(Rev. 1)_(v3.0_CURRENT)_(Main Content)</t>
  </si>
  <si>
    <t>4600022667-001-03350-201CA-00004</t>
  </si>
  <si>
    <t>P&amp;ID - TIE-IN, CAJONES DE TRASPASO Y RETORNOS</t>
  </si>
  <si>
    <t>4600022667-001-03350-201CA-00005_(Rev. 0)_(v2.0_CURRENT)_(Main Content)</t>
  </si>
  <si>
    <t>4600022667-001-03350-201CA-00005</t>
  </si>
  <si>
    <t>P&amp;ID - AIRE DE INSTRUMENTACIÓN</t>
  </si>
  <si>
    <t>4600022667-001-03350-201CA-00006_(Rev. 0)_(v2.0_CURRENT)_(Main Content)</t>
  </si>
  <si>
    <t>4600022667-001-03350-201CA-00006</t>
  </si>
  <si>
    <t>P&amp;ID - SISTEMA DE PROTECIÓN CONTRA INCENDIO</t>
  </si>
  <si>
    <t>4600022667-001-03350-205CA-00001_(Rev. 0)_(v2.0_CURRENT)_(Main Content)</t>
  </si>
  <si>
    <t>4600022667-001-03350-205CA-00001</t>
  </si>
  <si>
    <t>TIE-IN 001 CONCENTRADO COLECTIVO ALTERNATIVA N°1  PLANTA, DETALLES Y SECCIONES</t>
  </si>
  <si>
    <t>4600022667-001-03350-205CA-00002_(Rev. 0)_(v2.0_CURRENT)_(Main Content)</t>
  </si>
  <si>
    <t>4600022667-001-03350-205CA-00002</t>
  </si>
  <si>
    <t>TIE-IN 002 Y TIE-IN 004 COLAS PRIMERA LIMPIEZA PLANTA, DETALLES Y SECCIONES</t>
  </si>
  <si>
    <t>4600022667-001-03350-205CA-00003_(Rev. 1)_(v4.0_CURRENT)_(Main Content)</t>
  </si>
  <si>
    <t>4600022667-001-03350-205CA-00003</t>
  </si>
  <si>
    <t>TIE-IN 001 CONCENTRADO COLECTIVO ALTERNATIVA N°2 Y TIE-IN 003 AGUA DE PROCESO - PLANTA, DET. Y SEC.</t>
  </si>
  <si>
    <t>4600022667-001-03350-205CA-00004_(Rev. B)_(v2.0_CURRENT)_(Main Content)</t>
  </si>
  <si>
    <t>4600022667-001-03350-205CA-00004</t>
  </si>
  <si>
    <t>TIE-IN 03351-001 CONCENTRADO CU-MO PLANTA Y SECCIÓN</t>
  </si>
  <si>
    <t>4600022667-001-03350-205CA-00005_(Rev. B)_(v2.0_CURRENT)_(Main Content)</t>
  </si>
  <si>
    <t>4600022667-001-03350-205CA-00005</t>
  </si>
  <si>
    <t>TIE-IN 03351-002 Y 03351-004 COLAS PRIMERA LIMPIEZA PLANTA Y SECCIONES</t>
  </si>
  <si>
    <t>4600022667-001-03350-205CA-00006_(Rev. B)_(v2.0_CURRENT)_(Main Content)</t>
  </si>
  <si>
    <t>4600022667-001-03350-205CA-00006</t>
  </si>
  <si>
    <t>TIE-IN 03351-003 AGUA DE PROCESO PLANTA Y SECCIÓN</t>
  </si>
  <si>
    <t>4600022667-001-03350-205CA-00007_(Rev. B)_(v2.0_CURRENT)_(Main Content)</t>
  </si>
  <si>
    <t>4600022667-001-03350-205CA-00007</t>
  </si>
  <si>
    <t>TIE-IN 03351-005/006 AIRE DE INSTRUMENTACIÓN PLANTA Y SECCIONES</t>
  </si>
  <si>
    <t>4600022667-001-03350-205CA-00008_(Rev. B)_(v2.0_CURRENT)_(Main Content)</t>
  </si>
  <si>
    <t>4600022667-001-03350-205CA-00008</t>
  </si>
  <si>
    <t>TIE-IN 03351-0007 - RED DE INCENDIO PLANTA, SECCIONES Y DETALLES</t>
  </si>
  <si>
    <t>4600022667-001-03350-502CA-00001_(Rev. B)_(v1.0_CURRENT)_(Main Content)</t>
  </si>
  <si>
    <t>4600022667-001-03350-502CA-00001</t>
  </si>
  <si>
    <t>ISOEMTRICO DE CAÑERIAS - 03351-CT-6"-C3-0005-R3 (3 LAMINAS)</t>
  </si>
  <si>
    <t>ISOMETRICO</t>
  </si>
  <si>
    <t>4600022667-001-03350-502CA-00002_(Rev. B)_(v1.0_CURRENT)_(Main Content)</t>
  </si>
  <si>
    <t>4600022667-001-03350-502CA-00002</t>
  </si>
  <si>
    <t>ISOEMTRICO DE CAÑERIAS - 03351-CT-6"-C3-0018-R3 (25 LAMINAS)</t>
  </si>
  <si>
    <t>4600022667-001-03350-502CA-00003_(Rev. B)_(v1.0_CURRENT)_(Main Content)</t>
  </si>
  <si>
    <t>4600022667-001-03350-502CA-00003</t>
  </si>
  <si>
    <t>ISOEMTRICO DE CAÑERIAS - 03351-CT-6"-C3-0006-R3 (3 LAMINAS)</t>
  </si>
  <si>
    <t>4600022667-001-03350-502CA-00004_(Rev. B)_(v1.0_CURRENT)_(Main Content)</t>
  </si>
  <si>
    <t>4600022667-001-03350-502CA-00004</t>
  </si>
  <si>
    <t>ISOEMTRICO DE CAÑERIAS - 03351-CT-6"-C3-0021-R3 (26 LAMINAS)</t>
  </si>
  <si>
    <t>4600022667-001-03350-502CA-00005_(Rev. B)_(v1.0_CURRENT)_(Main Content)</t>
  </si>
  <si>
    <t>4600022667-001-03350-502CA-00005</t>
  </si>
  <si>
    <t>ISOEMTRICO DE CAÑERIAS - 03351-CT-6"-C3-0007-R3 (3 LAMINAS)</t>
  </si>
  <si>
    <t>4600022667-001-03350-502CA-00006_(Rev. B)_(v2.0_CURRENT)_(Main Content)</t>
  </si>
  <si>
    <t>4600022667-001-03350-502CA-00006</t>
  </si>
  <si>
    <t>ISOEMTRICO DE CAÑERIAS - 03351-CT-6"-C3-0023-R3 (5 LAMINAS)</t>
  </si>
  <si>
    <t>4600022667-001-03350-502CA-00007_(Rev. B)_(v1.0_CURRENT)_(Main Content)</t>
  </si>
  <si>
    <t>4600022667-001-03350-502CA-00007</t>
  </si>
  <si>
    <t>ISOEMTRICO DE CAÑERIAS - 03351-CT-6"-C3-0046-R3 (5 LAMINAS)</t>
  </si>
  <si>
    <t>4600022667-001-03350-502CA-00008_(Rev. B)_(v1.0_CURRENT)_(Main Content)</t>
  </si>
  <si>
    <t>4600022667-001-03350-502CA-00008</t>
  </si>
  <si>
    <t>ISOEMTRICO DE CAÑERIAS - 03351-CT-6"-C3-0030-R3</t>
  </si>
  <si>
    <t>4600022667-001-03350-502CA-00009_(Rev. B)_(v1.0_CURRENT)_(Main Content)</t>
  </si>
  <si>
    <t>4600022667-001-03350-502CA-00009</t>
  </si>
  <si>
    <t>ISOEMTRICO DE CAÑERIAS - 03351-CT-6"-C3-0050-R3 (2 LAMINAS)</t>
  </si>
  <si>
    <t>4600022667-001-03350-502CA-00010_(Rev. B)_(v1.0_CURRENT)_(Main Content)</t>
  </si>
  <si>
    <t>4600022667-001-03350-502CA-00010</t>
  </si>
  <si>
    <t>ISOEMTRICO DE CAÑERIAS - 03351-CT-6"-C11-0001-N (15 LAMINAS)</t>
  </si>
  <si>
    <t>4600022667-001-03350-502CA-00011_(Rev. B)_(v1.0_CURRENT)_(Main Content)</t>
  </si>
  <si>
    <t>4600022667-001-03350-502CA-00011</t>
  </si>
  <si>
    <t>ISOEMTRICO DE CAÑERIAS - 03351-CT-6"-C2-0047-N (2 LAMINAS)</t>
  </si>
  <si>
    <t>4600022667-001-03350-CRDCA-00001_(Rev. 0)_(v2.0_CURRENT)_(Main Content)</t>
  </si>
  <si>
    <t>4600022667-001-03350-CRDCA-00001</t>
  </si>
  <si>
    <t>ACTUALIZACIÓN CRITERIO DISEÑO RED CONTRA INCENDIO</t>
  </si>
  <si>
    <t>4600022667-001-03350-CUBCA-00001_(Rev. B)_(v1.0_CURRENT)_(Main Content)</t>
  </si>
  <si>
    <t>4600022667-001-03350-CUBCA-00001</t>
  </si>
  <si>
    <t>CUBICACIÓN DE MATERIALES DE CAÑERÍAS TODOS LOS SERVICIOS</t>
  </si>
  <si>
    <t>4600022667-001-03350-MDCCA-00001_(Rev. 0)_(v2.0_CURRENT)_(Main Content)</t>
  </si>
  <si>
    <t>4600022667-001-03350-MDCCA-00001</t>
  </si>
  <si>
    <t>MEMORIA DE CÁLCULO FLEXIBILIDAD DE IMPULSIÓN</t>
  </si>
  <si>
    <t>MEM. CALCULO</t>
  </si>
  <si>
    <t>4600022667-001-03350-MDCCA-00002_(Rev. 0)_(v2.0_CURRENT)_(Main Content)</t>
  </si>
  <si>
    <t>4600022667-001-03350-MDCCA-00002</t>
  </si>
  <si>
    <t>MEMORIA DE CÁLCULO LÍNEAS DE CONCENTRADO COLECTIVO Y COLAS DE 1° LIMPIEZA</t>
  </si>
  <si>
    <t>4600022667-001-03350-INFMD-00003-0</t>
  </si>
  <si>
    <t>ACTUALIZACION INFORME TALLER DE CONSTRUCTIBILIDAD</t>
  </si>
  <si>
    <t>MD_01</t>
  </si>
  <si>
    <t>Anexo A - Taller de Constructibilidad Rev 0</t>
  </si>
  <si>
    <t>TALLER DE CONSTRUCTIBILIDAD - ETAPA ING. DE DETALLE - PROY. ESPESADOR CONCENTRADO COLECTIVO PMFC</t>
  </si>
  <si>
    <t>PRESENTACION</t>
  </si>
  <si>
    <t>Anexo B - HALLAZGOS F039SS01</t>
  </si>
  <si>
    <t>ANEXO - TALLER DE CONSTRUCTIBILIDAD - MATRIZ DE HALLAZGOS</t>
  </si>
  <si>
    <t>Lista Verificación RESSO V</t>
  </si>
  <si>
    <t>LISTA VERIFICACION RESSO V</t>
  </si>
  <si>
    <t>SSO MA DAND/1 RESSO -RESEC</t>
  </si>
  <si>
    <t>SIGO-P-GE- RESEC. PROCEDIMIENTO RESEC DE SEGURIDAD Y SALUD EN EL TRABAJO</t>
  </si>
  <si>
    <t>PROCEDIMIENTO DE SEGURIDAD Y SALUD OCUPACIONAL APLICABLE A LAS EMPRESAS CONTRATISTAS  "RESEC DE SEGURIDAD Y SALUD EN EL TRABAJO”</t>
  </si>
  <si>
    <t>SIGO-R-004 RESSO Oficial V9</t>
  </si>
  <si>
    <t>REGLAMENTO ESPECIAL DE SEGURIDAD Y SALUD OCUPACIONAL</t>
  </si>
  <si>
    <t>REGLAMENTO</t>
  </si>
  <si>
    <t>N. REVISION</t>
  </si>
  <si>
    <t>FORMULARIO REQUISITOS LEGALES</t>
  </si>
  <si>
    <t>SSO MA DAND/2 Req. Legales</t>
  </si>
  <si>
    <t>IDENTIFICACION Y REGISTROS DE REQUISITOS LEGALES Y OTRO</t>
  </si>
  <si>
    <t>IDENTIFICACION Y REGISTRO DE REQUISITOS LEGALES Y OTROS REQUISITOS</t>
  </si>
  <si>
    <t>SIGO-ECC-003-01 v0 - interacción con energía eléctrica</t>
  </si>
  <si>
    <t>GESTION DE CONTROLES CRITICOS - INTERACCIÓN CON ENERGÍA ELÉCTRICA</t>
  </si>
  <si>
    <t>SSO MA DAND/3 Controles Criticos Corporativos</t>
  </si>
  <si>
    <t>SIGO-ECC-003-02 v0 - pérdida de equilibrio en altura física</t>
  </si>
  <si>
    <t>GESTION DE CONTROLES CRITICOS - PÉRDIDA DE EQUILIBRIO TRABAJO EN ALTURA FÍSICA</t>
  </si>
  <si>
    <t>SIGO-ECC-003-03 v0 - perdida control maniobra izaje</t>
  </si>
  <si>
    <t>GESTION DE CONTROLES CRITICOS - PÉRDIDA DE CONTROL MANIOBRAS DE IZAJE</t>
  </si>
  <si>
    <t>SIGO-ECC-003-04 v0 - Pérdida de Control de Energía Hidraulica y Neumática</t>
  </si>
  <si>
    <t>ARCHIVO</t>
  </si>
  <si>
    <t>DAÑADO</t>
  </si>
  <si>
    <t>SIGO-ECC-003-05 v0 - pérdida de control de rocas en operaciones mineras a cielo abierto</t>
  </si>
  <si>
    <t>SIGO-ECC-003-06 v0 - pérdida control variables del fuego</t>
  </si>
  <si>
    <t>GESTION DE CONTROLES CRITICOS - PÉRDIDA DE CONTROL VARIABLES DEL FUEGO</t>
  </si>
  <si>
    <t>SIGO-ECC-003-07_Perdida de control del manejo de sustancia peligrosas</t>
  </si>
  <si>
    <t>SIGO-ECC-003-09 v0 - interacción con partes móviles</t>
  </si>
  <si>
    <t>GESTION DE CONTROLES CRITICOS - INTERACCIÓN CON PARTES MÓVILES</t>
  </si>
  <si>
    <t>SIGO-ECC-003-10 v0 - pérdida de control vehicular</t>
  </si>
  <si>
    <t>GESTION DE CONTROLES CRITICOS - PÉRDIDA DE CONTROL DE VEHÍCULO LIVIANO</t>
  </si>
  <si>
    <t>SIGO-ECC-003-11_Interaccion con espacios confinados</t>
  </si>
  <si>
    <t>GESTION DE CONTROLES CRITICOS - INTERACCIÓN CON ESPACIO CONFINADO</t>
  </si>
  <si>
    <t>SIGO-ECC-003-12 v0 - interacción con materiales fundidos</t>
  </si>
  <si>
    <t>GESTION DE CONTROLES CRITICOS - INTERACCIÓN CON METALES FUNDIDOS</t>
  </si>
  <si>
    <t>SIGO-ECC-003-13_Perdida de control de objetos en altura</t>
  </si>
  <si>
    <t>GESTION DE CONTROLES CRITICOS - PÉRDIDA DE CONTROL DE OBJETOS EN ALTURA</t>
  </si>
  <si>
    <t>SIGO-ECC-003-16 V0 - Interacción con Puntos de Vaciado Chimeneas y Piques</t>
  </si>
  <si>
    <t>SIGO-ECC-003-18 v0 - pérdida de control roca subterranea</t>
  </si>
  <si>
    <t>GESTION DE CONTROLES CRITICOS - PÉRDIDA DE CONTROL ESTABILIDAD ROCA SUBTERRÁNEA</t>
  </si>
  <si>
    <t>SIGO-ECC-003-19 v0 - pérdida instantánea de estabilidad de excavaciones en labores subterráneas</t>
  </si>
  <si>
    <t>SIGO-ECC-003-20 Pérdida de Control de Fuentos de Emisión de Polvo - Gestión de Controles Críticos</t>
  </si>
  <si>
    <t>SIGO-ECC-003-22 V0 - Pérdida de control de Estructuras para Tránsito y Uso de Personas</t>
  </si>
  <si>
    <t>SIGO-ECC-003-23 v0 - pérdida de control estructural macizo rocoso</t>
  </si>
  <si>
    <t>GESTION DE CONTROLES CRITICOS - PÉRDIDA DE CONTROL ESTRUCTURAL DEL MACIZO ROCOSO</t>
  </si>
  <si>
    <t>SIGO-ECC-003-24 V0 - Pérdida de Control de la Estabilidad de Talud</t>
  </si>
  <si>
    <t>SIGO-ECC-003-25 V0 - Pérdida de Control de Maquinaria Industrial Autopropulsada</t>
  </si>
  <si>
    <t>SIGO-ECC-003-26_Perdida de control de equipos autonomos</t>
  </si>
  <si>
    <t>GESTION DE CONTROLES CRITICOS - PÉRDIDA DE CONTROL DE EQUIPOS AUTÓNOMOS</t>
  </si>
  <si>
    <t>SIGO-ECC-003-27_Interaccion de personas con equipos y vehiculos</t>
  </si>
  <si>
    <t>GESTION DE CONTROLES CRITICOS - INTERACCIÓN DE PERSONAS CON EQUIPOS/ VEHÍCULOS</t>
  </si>
  <si>
    <t>SIGO-ECC-003-28_Pérdida de control de caving</t>
  </si>
  <si>
    <t>GESTION DE CONTROLES CRITICOS - PÉRDIDA DE CONTROL DE CAVING</t>
  </si>
  <si>
    <t>SIGO-ET-003 - Mejoramiento continuo del desempeño de Controles Críticos SSO</t>
  </si>
  <si>
    <t>SIGO-G-007 Guía Controles Críticos SSO</t>
  </si>
  <si>
    <t>GUÍA – SIGO CODELCO CONTROLES CRITICOS DE SSO</t>
  </si>
  <si>
    <t>GUIA</t>
  </si>
  <si>
    <t>1 - Estandares Control de Fatalidades (ECF) Codelco Junio 2011</t>
  </si>
  <si>
    <t>SSO MA DAND/4 Guia ECF- Formularios autoev/01 Grales</t>
  </si>
  <si>
    <t>Guía de ECF 2019</t>
  </si>
  <si>
    <t>GUIA DE ESTANDARES DE CONTROL DE FATALIDADES (ENERO 2019)</t>
  </si>
  <si>
    <t>GUIA ECF PARTICULARES</t>
  </si>
  <si>
    <t>GUIA DE ESTANDARES DE CONTROL DE FATALIDADES PARTICULARES</t>
  </si>
  <si>
    <t>APLICACION REQUISITOS ECF N° 1 ASILACION, BLOQUEA Y PERMISO DE TRABAJO</t>
  </si>
  <si>
    <t>SSO MA DAND/4 Guia ECF- Formularios autoev/ECF N° 01</t>
  </si>
  <si>
    <t>ECF N° 1 PROTOCOLO DE AISLAMIENTO Y BLOQUEO DE ENERGIA</t>
  </si>
  <si>
    <t>ECF N°1 - PROTOCOLO DE AISLAMIENTO Y BLOQUEO DE ENERGIAS</t>
  </si>
  <si>
    <t>ESTANDAR CONTROL DE FATALIDADES ECF 1 AISLACION Y BLOQUEO rev01</t>
  </si>
  <si>
    <t>ANDAMIOS MODULARES PREFABRICADOS</t>
  </si>
  <si>
    <t>SSO MA DAND/4 Guia ECF- Formularios autoev/ECF N° 02</t>
  </si>
  <si>
    <t>APLICACION REQUISITOS ECF N 2 TRABAJOS EN ALTURA FISICA</t>
  </si>
  <si>
    <t>APLICACIÓN REQUISITOS ECF-2 “TRABAJO EN ALTURA FÍSICA”</t>
  </si>
  <si>
    <t>ECF 2 - TRABAJO EN ALTURA FÍSICA rev 01 2016</t>
  </si>
  <si>
    <t>ESTÁNDAR CONTROL DE FATALIDADES ECF 2 - TRABAJO EN ALTURA FÍSICA</t>
  </si>
  <si>
    <t>ESTANDAR</t>
  </si>
  <si>
    <t>ECF N°2 TRABAJO EN ALTURA FISICA</t>
  </si>
  <si>
    <t xml:space="preserve">ECF N°2 - TRABAJO EN ALTURA FISICA </t>
  </si>
  <si>
    <t>ESCALERAS, PLATAFORMAS PERMANENTES Y ESCALAS EN DAND</t>
  </si>
  <si>
    <t>ESCALERAS, PLATAFORMAS PERMANENTES Y ESCALAS EN DIVISIÓN ANDINA</t>
  </si>
  <si>
    <t>FORMULARIO DE INSPECCION ESCALERAS, PLATAFORMAS PERMANENTES  Y BARANDAS</t>
  </si>
  <si>
    <t>FORMULARIO LISTA DE VERIFICACIÓN ANDAMIOS MODULARES</t>
  </si>
  <si>
    <t>FORMULARIO LISTA DE VERIFICACIÓN SPDC</t>
  </si>
  <si>
    <t>LISTA DE VERIFICACIÓN SPDC</t>
  </si>
  <si>
    <t>FORMULARIO PERMISO REMOCIÓN DE GRATINGS</t>
  </si>
  <si>
    <t>FORMULARIO PERMISO REMOCIÓN DE GRATINGS Y/O PLANCHAS DE PISOS INDUSTRIALES Y BARANDAS</t>
  </si>
  <si>
    <t>FORMULARIO PRE USO ESCALAS MOVILES</t>
  </si>
  <si>
    <t>GuiaSPDC del I.S.P</t>
  </si>
  <si>
    <t>GUÍA PARA LA SELECCIÓN Y CONTROL DE EQUIPOS DE PROTECCIÓN PERSONAL PARA TRABAJOS CON RIESGO DE CAÍDA</t>
  </si>
  <si>
    <t>PLATAFORMA ELEVADORAS MOVILES DE PERSONAS</t>
  </si>
  <si>
    <t>PLATAFORMAS ELEVADORAS MOVILES DE PERSONAS</t>
  </si>
  <si>
    <t>SISTEMA PERSONAL DE DETENCIÓN DE CAÍDAS 2017</t>
  </si>
  <si>
    <t>SISTEMA PERSONAL DE DETENCIÓN DE CAÍDAS (SPDC)</t>
  </si>
  <si>
    <t>MANUAL DE DISEÑO ANCLAJES PARA LINEAS DE VIDA</t>
  </si>
  <si>
    <t>SSO MA DAND/4 Guia ECF- Formularios autoev/ECF N° 02/Criterio</t>
  </si>
  <si>
    <t>MEMORIA DE CALCULO ANCLAJES PARA LINEAS DE VIDA</t>
  </si>
  <si>
    <t>GCSSO-022 Envió Actualización SIGO-ECF-003 Estándar de Control de Fatalidades - Maquinaria Industrial Automotriz, V3</t>
  </si>
  <si>
    <t>SSO MA DAND/4 Guia ECF- Formularios autoev/ECF N° 03</t>
  </si>
  <si>
    <t>SIGO-ECF-003 - Maquinaria Industrial Automotriz V004</t>
  </si>
  <si>
    <t>ESTANDAR DE CONTROL DE FATALIDADES ECF 3 - MAQUINARIA INDUSTRIAL AUTOMOTRIZ</t>
  </si>
  <si>
    <t>SIGO-LV-ECF03-001</t>
  </si>
  <si>
    <t>ESTANDAR DE CONTROL DE FATALIDADES ECF 3 MAQUINARIA INDUSTRIAL AUTOMOTRIZ</t>
  </si>
  <si>
    <t>ECF 4 - VEHICULOS LIVIANOS rev 02 2018</t>
  </si>
  <si>
    <t>ESTANDAR DE CONTROL DE FATALIDADES ECF 4 - VEHICULOS LIVIANOS</t>
  </si>
  <si>
    <t>SSO MA DAND/4 Guia ECF- Formularios autoev/ECF N° 04</t>
  </si>
  <si>
    <t>ECF N°04_Vehículos Livianos (preliminar)</t>
  </si>
  <si>
    <t>ESTANDAR DE CONTROL DE FATALIDADES ECF 4  VEHICULOS LIVIANOS</t>
  </si>
  <si>
    <t>ECF N°04_Vehículos Livianos</t>
  </si>
  <si>
    <t>LISTADO DE CHEQUEO DE CAMIONETA Y ENCUESTA BREVE DE FATIGA Y SOMNOLENCIA</t>
  </si>
  <si>
    <t>ANEXOS E C F Nº 5</t>
  </si>
  <si>
    <t>ANEXOS ECF N°5</t>
  </si>
  <si>
    <t>SSO MA DAND/4 Guia ECF- Formularios autoev/ECF N° 05</t>
  </si>
  <si>
    <t>APLICACION REQUISITOS ECF N° 5 EQUIPOS Y HERRAMIENTAS PORTATILES Y MANUALES</t>
  </si>
  <si>
    <t>APLICACION REQUISITOS ECF N7 IZAJE MECANICO DE CARGAS</t>
  </si>
  <si>
    <t>APLICACIÓN REQUISITOS ECF N°7 “IZAJE MECANICO DE CARGAS”</t>
  </si>
  <si>
    <t>SSO MA DAND/4 Guia ECF- Formularios autoev/ECF N° 07</t>
  </si>
  <si>
    <t>ECF 7 - IZAJE MECÁNICO DE CARGAS rev 01 2016</t>
  </si>
  <si>
    <t>ESTÁNDAR CONTROL DE FATALIDADES ECF 7 - IZAJE MECÁNICO DE CARGAS</t>
  </si>
  <si>
    <t>EVALUACION PREVIA Y ENTREGA DE TERRENO PARA GRUAS MOVILES E IZAJES CRITICOS</t>
  </si>
  <si>
    <t>LISTADO DE VERIFICACION DE PRE USO DE EQUIPOS DE IZAJE</t>
  </si>
  <si>
    <t>PLAN DE MANIOBRAS DE IZAJE</t>
  </si>
  <si>
    <t>APLICACION REQUISITOS ECF Nº 8 GUARDAS Y PROTECCION DE EQUIPOS</t>
  </si>
  <si>
    <t>SSO MA DAND/4 Guia ECF- Formularios autoev/ECF N° 08</t>
  </si>
  <si>
    <t>AUTORIZACION DE INGRESO DE RECINTOS DE ALMACENAMIENTO DE SUSTANCIAS QUIMICAS A DAND</t>
  </si>
  <si>
    <t>SSO MA DAND/4 Guia ECF- Formularios autoev/ECF N° 09</t>
  </si>
  <si>
    <t>CHECK LIST PARA BODEGA DE CILINDROS</t>
  </si>
  <si>
    <t>CHECK LIST PARA BODEGA DE SUSTANCIAS INFLAMABLES</t>
  </si>
  <si>
    <t>CHECK LIST PARA BODEGA GENERAL DE SUSTANCIAS QUIMICAS</t>
  </si>
  <si>
    <t>CHECK LIST PARA ESTANTERIAS DE SUSTANCIAS QUIMICAS</t>
  </si>
  <si>
    <t>CHECK LIST PARA JAULA DE CILINDROS</t>
  </si>
  <si>
    <t>CHECK LIST PARA JAULA DE SUSTANCIAS INFLAMABLES</t>
  </si>
  <si>
    <t>CHECK LIST PARA JAULA GENERAL DE SUSTANCIAS PELIGROSAS</t>
  </si>
  <si>
    <t>ESTANDAR BODEGAS DE ALMACENAMIENTO DE SUSTANCIAS QUIMICAS</t>
  </si>
  <si>
    <t>ESTANDAR DE ESTANTERIAS DE ALMACENAMIENTO DE SUSTANCIAS QUIMICAS</t>
  </si>
  <si>
    <t>ESTANDAR DE JAULAS DE ALMACENAMIENTO DE SUSTANCIAS QUIMICAS</t>
  </si>
  <si>
    <t>REGISTRO DE CAPACITACIONES EN SUSTANCIAS QUIMICAS</t>
  </si>
  <si>
    <t>REGISTRO DE INGRESO DE SUSTANCIAS QUIMICAS A DAND</t>
  </si>
  <si>
    <t>REGLAMENTO SUSTANCIAS QUIMICAS</t>
  </si>
  <si>
    <t>SIGO-R-002 Reglamento Corporativo Productos Químicos Rev FINAL v000</t>
  </si>
  <si>
    <t>ANALISIS QUIMICO - CATASTRO SP</t>
  </si>
  <si>
    <t>SSO MA DAND/4 Guia ECF- Formularios autoev/ECF N° 09/Registro</t>
  </si>
  <si>
    <t>ANALISIS QUIMICO - PERSONAL AUTORIZADO SP</t>
  </si>
  <si>
    <t>ANEXO_N°10_FICHA_DE_SEGURIDAD_REACCION_VIOLENTA_VAPORES_TOXICOS_CORROSIVOS</t>
  </si>
  <si>
    <t>ANEXO_N°11_FICHA_DE_SEGURIDAD_REACCION_VIOLENTA_VAPORES_TOXICO_CORROSIVOS_INFLAMABLES</t>
  </si>
  <si>
    <t>ANEXO_N°12_TABLA_DE_INCOMPATIBILIDADES</t>
  </si>
  <si>
    <t>ANEXO_N°1_FICHA_DE_SEGURIDAD_VAPORES_TOXICOS</t>
  </si>
  <si>
    <t>ANEXO_N°2_FICHA_DE_SEGURIDAD_VAPORES_TOXICOS_INFLAMABLES</t>
  </si>
  <si>
    <t>ANEXO_N°3_FICHA_DE_SEGURIDAD_DESPRENDIMIENTO_VAPORES_IRRITANTES</t>
  </si>
  <si>
    <t>ANEXO_N°4_FICHA_DE_SEGURIDAD_DESPRENDIMIENTO_VAPORES_TOXICOS_CORROSIVOS</t>
  </si>
  <si>
    <t>ANEXO_N°5_FICHA_DE_SEGURIDAD_DESPRENDIMIENTO_VAPORES_TOXICOS_CORROSIVOS_Y_CALOR</t>
  </si>
  <si>
    <t>ANEXO_N°6_FICHA_DE_SEGURIDAD_VAPORES_TOXICOS_IRRITANTES</t>
  </si>
  <si>
    <t>ANEXO_N°7_FICHA_DE_SEGURIDAD_REACCION_VIOLENTA_DESPRENDIMIENTO_VAPORES_IRRITANTES</t>
  </si>
  <si>
    <t>ANEXO_N°8_FICHA_DE_SEGURIDAD_REACCION_VIOLENTA_DESPRENDIMIENTO_VAPORES_TOXICOS</t>
  </si>
  <si>
    <t>ANEXO_N°9_FICHA_DE_SEGURIDAD_REACCION_VIOLENTA_VAPORES_TOXICOS_INFLAMABLES</t>
  </si>
  <si>
    <t>CARTA_GSSO_-_SEREMI_071</t>
  </si>
  <si>
    <t>ENCUESTA CONCENTRACION</t>
  </si>
  <si>
    <t>ENCUESTA SUSTANCIAS PELIGROSAS</t>
  </si>
  <si>
    <t>ENCUESTA_2012_GRMD_-LABORATORIO_QUIMICO_SALADILLO</t>
  </si>
  <si>
    <t>ENCUESTA_2012__GAF-ABASTECIMIENTO_10_Sept</t>
  </si>
  <si>
    <t>ENCUESTA_2012__GERENCIA_MINAS_-_EXPLOSIVOS</t>
  </si>
  <si>
    <t>ENCUESTA_2012__GMIN_-_MRA_-Rev_F</t>
  </si>
  <si>
    <t>ENCUESTA_2012__GPLA-PLANTA_MOLIBDENO_Y_FILTRADO_DE_CU_Rev_F</t>
  </si>
  <si>
    <t>ENCUESTA_2012__GSER_Rev_1</t>
  </si>
  <si>
    <t>ENCUESTA__SEREMI_2012__GMIN-MANTENCION_MINA_SUBTERRANEA</t>
  </si>
  <si>
    <t>GEOREF__ENCUESTA_2012_EQUIPOS_RADIACTIVOS_DAND_REV_Nov_2012</t>
  </si>
  <si>
    <t>INFORME_TABLA_DE_INCOMPATIBILIDAD_DE_SUSTANCIAS_QUIMICAS</t>
  </si>
  <si>
    <t>ORD_919_SEREMI_GEOREFERENCIACION_EGRI´s</t>
  </si>
  <si>
    <t>SUPERINTENDENCIA MANTENIMIENTO - LISTADO DE SUSTANCIAS PELIGROSAS</t>
  </si>
  <si>
    <t>REQUISITOS OPERATIVIZACIÓN ECF-N°10 EXPLOSIVOS Y TRONADURAS</t>
  </si>
  <si>
    <t>SSO MA DAND/4 Guia ECF- Formularios autoev/ECF N° 10</t>
  </si>
  <si>
    <t>ESTANDAR CONTROL DE FATALIDADES Nº 11 CONTROL DEL TERRENO</t>
  </si>
  <si>
    <t>ESTANDAR CONTROL DE FATALIDADES N° 11 CONTROL DEL TERRENO</t>
  </si>
  <si>
    <t>SSO MA DAND/4 Guia ECF- Formularios autoev/ECF N° 11</t>
  </si>
  <si>
    <t>PLANIFICACION Y EJECUCION DE SIMULACROS</t>
  </si>
  <si>
    <t>INSTRUCTIVO - SIGO CODELCO PLANIFICACION Y EJECUCION DE SIMULACROS</t>
  </si>
  <si>
    <t>SSO MA DAND/4 Guia ECF- Formularios autoev/ECF N° 12</t>
  </si>
  <si>
    <t>SIGO-F-003 Verificación de las condiciones seguras frente a incendio</t>
  </si>
  <si>
    <t>CALCULO_CARGA_COMBUSTIBLE</t>
  </si>
  <si>
    <t>CARGA DE COMBUSTIBLES - CODELCO DIVISION ANDINA</t>
  </si>
  <si>
    <t>SSO MA DAND/4 Guia ECF- Formularios autoev/ECF N° 12/Calculo</t>
  </si>
  <si>
    <t>Calculo_Carga_Combustible_(CO)</t>
  </si>
  <si>
    <t>CARGA DE COMBUSTIBLES - CODELCO DIVISION ANDINA (CO)</t>
  </si>
  <si>
    <t>Calculo_Carga_Combustible_(MRA)</t>
  </si>
  <si>
    <t>CARGA DE COMBUSTIBLES - CODELCO DIVISION ANDINA (MRA)</t>
  </si>
  <si>
    <t>Calculo_Carga_Combustible_(MS)</t>
  </si>
  <si>
    <t>CARGA DE COMBUSTIBLES - CODELCO DIVISION ANDINA (MS)</t>
  </si>
  <si>
    <t>Calculo_Carga_Combustible_CO_II</t>
  </si>
  <si>
    <t>CARGA DE COMBUSTIBLES - CODELCO DIVISION ANDINA (CO IIS)</t>
  </si>
  <si>
    <t>Calculo_Carga_Combustible_Est_Serv_Comb</t>
  </si>
  <si>
    <t>Calculo_Carga_Combustible_MS</t>
  </si>
  <si>
    <t>Calculo_Carga_Combustible_Neumaticos_Km_15</t>
  </si>
  <si>
    <t>MAPA_DE_RIESGOS__INCENDIO_NV_16_1-2</t>
  </si>
  <si>
    <t>MAPARIESGOS DE INCENDIO NIVEL 16 1/2</t>
  </si>
  <si>
    <t>FICHA</t>
  </si>
  <si>
    <t>SSO MA DAND/4 Guia ECF- Formularios autoev/ECF N° 12/Mapa</t>
  </si>
  <si>
    <t>MAPA_DE_RIESGOS_DE_INCENDIO_MINA_RAJO</t>
  </si>
  <si>
    <t>MAPARIESGOS DE INCENDIO MIAN RAJO</t>
  </si>
  <si>
    <t>MAPA_DE_RIESGOS_DE_INCENDIO_NIVEL_16</t>
  </si>
  <si>
    <t>MAPARIESGOS DE INCENDIO NIVEL 16</t>
  </si>
  <si>
    <t>MAPA_DE_RIESGOS_DE_INCENDIO_SPMFC</t>
  </si>
  <si>
    <t>MAPARIESGOS DE INCENDIO SUPERINTENDENCIA PLANTA MOLIBDENO Y FILTRADO DE COBRE (SPMFC)</t>
  </si>
  <si>
    <t>MAPA_DE_RIESGOS_DE_NIVEL_8</t>
  </si>
  <si>
    <t>MAPARIESGOS DE INCENDIO NIVEL 8</t>
  </si>
  <si>
    <t>MAPA_RIESGOS_INCENDIO_CONCENTRADOR</t>
  </si>
  <si>
    <t>MAPARIESGOS DE INCENDIO CONCENTRADOR</t>
  </si>
  <si>
    <t>MAPA_RIESGOS_INCENDIO_NIVEL_17</t>
  </si>
  <si>
    <t>MAPARIESGOS DE INCENDIO NIVEL 17</t>
  </si>
  <si>
    <t>ESTANDAR DE CONTROL DE FATALIDADES N° 14 VUELOS SOLICITUD DE SERVICIOS DE HELICOPTERO</t>
  </si>
  <si>
    <t>SSO MA DAND/4 Guia ECF- Formularios autoev/ECF N° 14</t>
  </si>
  <si>
    <t>PROTOCOLO DE AUTORIZACION DE VUELO</t>
  </si>
  <si>
    <t>APLICACION REQUISITO ECF N° 15 BOMBEO EN MINA SUBTERRANEA</t>
  </si>
  <si>
    <t>APLICACIÓN REQUISITOS ECF Nº 15 BOMBEO EN MINA SUBTERRANEA</t>
  </si>
  <si>
    <t>SSO MA DAND/4 Guia ECF- Formularios autoev/ECF N° 15</t>
  </si>
  <si>
    <t>PLAN IMPLEMENTACION ECF N° 18 AVALANCHA</t>
  </si>
  <si>
    <t xml:space="preserve">LISTADO DE VERIFICACION ESTANDAR DE CONTROL DE FATALIDAD Nº 18                   </t>
  </si>
  <si>
    <t>SSO MA DAND/4 Guia ECF- Formularios autoev/ECF N° 18</t>
  </si>
  <si>
    <t>ESTANDAR CONTROL DE FATALIDADES N° 20 PUNTOS DE VACIADO Y CHIMENEAS</t>
  </si>
  <si>
    <t>SSO MA DAND/4 Guia ECF- Formularios autoev/ECF N° 20</t>
  </si>
  <si>
    <t>Actualización ECF 21.Ver.02</t>
  </si>
  <si>
    <t>ACTUALIZACION ECF 21 - VEHICULOS DE TRANSPORTE DE PERSONAS Y CARGA</t>
  </si>
  <si>
    <t>SSO MA DAND/4 Guia ECF- Formularios autoev/ECF N° 21</t>
  </si>
  <si>
    <t>LISTA DE VERIFICACION ECF 21 14.11.19</t>
  </si>
  <si>
    <t>ESTANDAR DE CONTROL DE FATALIDADES ECF 21 - VEHICULOS DE TRANSPORTE DE PERSONAS Y CARGA</t>
  </si>
  <si>
    <t>SIGO-ECF-021  VEHICULOS DE TRANSPORTE DE PERSONAS Y CARGA Rev 03</t>
  </si>
  <si>
    <t>SIGO-LV-ECF21-004</t>
  </si>
  <si>
    <t>ESTANDAR DE CONTROL DE FATALIDADES ECF 21 VEHICULOS DE TRANSPORTE DE PERSONAS Y CARGA</t>
  </si>
  <si>
    <t>ECF 22</t>
  </si>
  <si>
    <t>ECF 22 - INSTALACION INDUSTRIALES Y SUS ESTRUCTURAS</t>
  </si>
  <si>
    <t>SSO MA DAND/4 Guia ECF- Formularios autoev/ECF N° 22</t>
  </si>
  <si>
    <t>Guía Técnica Escaleras y Escalas Industriales Fijas Baranda Móviles y Fijas</t>
  </si>
  <si>
    <t>Guía Técnica Estructura de Pisos Industriales</t>
  </si>
  <si>
    <t>GUIA TECNICA ESTRUCTURAS DE PISOS INDUSTRIALES</t>
  </si>
  <si>
    <t>ECF VIALES - ARTICULOS TRANSITORIOS 01.07.2018</t>
  </si>
  <si>
    <t>ESTANDAR DE CONTROL DE FATALIDADES VIALES (ECF-3, ECF-4, ECF-21) ARTICULOS TRANSITORIOS</t>
  </si>
  <si>
    <t>SSO MA DAND/4 Guia ECF- Formularios autoev/ECF Transitorios</t>
  </si>
  <si>
    <t>SIGO-LV-ECF01-001</t>
  </si>
  <si>
    <t>LISTA DE VERIFICACION ESTANDARES DE CONTROL DE FATALIDADES - ECF-1 - AISLACION Y BLOQUEO</t>
  </si>
  <si>
    <t>SSO MA DAND/4 Guia ECF- Formularios autoev/SIGO-LV-ECF</t>
  </si>
  <si>
    <t>SIGO-LV-ECF02-001</t>
  </si>
  <si>
    <t>LISTA DE VERIFICACION ESTANDARES DE CONTROL DE FATALIDADES - ECF-2 - TRABAJO EN ALTURA FISICA</t>
  </si>
  <si>
    <t>SIGO-LV-ECF03-005</t>
  </si>
  <si>
    <t>LISTA DE VERIFICACION ESTANDARES DE CONTROL DE FATALIDADES - ECF-3 - MAQUINARIA INDUSTRIAL AUTOMOTRIZ</t>
  </si>
  <si>
    <t>SIGO-LV-ECF04-001</t>
  </si>
  <si>
    <t>LISTA DE VERIFICACION ESTANDARES DE CONTROL DE FATALIDADES - ECF-4 - VEHICULOS LIVIANOS</t>
  </si>
  <si>
    <t>SIGO-LV-ECF05-001</t>
  </si>
  <si>
    <t>LISTA DE VERIFICACION ESTANDARES DE CONTROL DE FATALIDADES - ECF-5 - HERRAMIENTAS Y EQUIPOS PORTATILES Y MANUALES</t>
  </si>
  <si>
    <t>SIGO-LV-ECF06-001</t>
  </si>
  <si>
    <t>LISTA DE VERIFICACION ESTANDARES DE CONTROL DE FATALIDADES - ECF-6 - MATERIALES FUNDIDOS</t>
  </si>
  <si>
    <t>SIGO-LV-ECF07-001</t>
  </si>
  <si>
    <t>LISTA DE VERIFICACION ESTANDARES DE CONTROL DE FATALIDADES - ECF-7 - IZAJE MECANICO DE CARGAS</t>
  </si>
  <si>
    <t>SIGO-LV-ECF08-001</t>
  </si>
  <si>
    <t>LISTA DE VERIFICACION ESTANDARES DE CONTROL DE FATALIDADES - ECF-8 - GUARDAS Y PROTECCIONES DE EQUIPOS</t>
  </si>
  <si>
    <t>SIGO-LV-ECF09-001</t>
  </si>
  <si>
    <t>LISTA DE VERIFICACION ESTANDARES DE CONTROL DE FATALIDADES - ECF-9 - MANEJO DE SUSTANCIAS PELIGROSAS</t>
  </si>
  <si>
    <t>SIGO-LV-ECF10-001</t>
  </si>
  <si>
    <t>LISTA DE VERIFICACION ESTANDARES DE CONTROL DE FATALIDADES - ECF-10 - EXPLOSIVOS Y TRONADURAS</t>
  </si>
  <si>
    <t>SIGO-LV-ECF11-001</t>
  </si>
  <si>
    <t>LISTA DE VERIFICACION ESTANDARES DE CONTROL DE FATALIDADES - ECF-11 - CONTROL DE TERRENO</t>
  </si>
  <si>
    <t>SIGO-LV-ECF12-001</t>
  </si>
  <si>
    <t>LISTA DE VERIFICACION ESTANDARES DE CONTROL DE FATALIDADES - ECF-12 - INCENDIO</t>
  </si>
  <si>
    <t>SIGO-LV-ECF13-001</t>
  </si>
  <si>
    <t>LISTA DE VERIFICACION ESTANDARES DE CONTROL DE FATALIDADES - ECF-13 - OPERACIONES FERRIOVIARIAS</t>
  </si>
  <si>
    <t>SIGO-LV-ECF14-001</t>
  </si>
  <si>
    <t>LISTA DE VERIFICACION ESTANDARES DE CONTROL DE FATALIDADES - ECF-14 - VUELOS</t>
  </si>
  <si>
    <t>SIGO-LV-ECF15-001</t>
  </si>
  <si>
    <t>LISTA DE VERIFICACION ESTANDARES DE CONTROL DE FATALIDADES - ECF-15 - BOMBEO DE AGUA BARRO</t>
  </si>
  <si>
    <t>SIGO-LV-ECF16-001</t>
  </si>
  <si>
    <t>LISTA DE VERIFICACION ESTANDARES DE CONTROL DE FATALIDADES - ECF-16 - ESTALLIDO DE ROCA</t>
  </si>
  <si>
    <t>SIGO-LV-ECF17-001</t>
  </si>
  <si>
    <t>LISTA DE VERIFICACION ESTANDARES DE CONTROL DE FATALIDADES - ECF-17 - CONTROL DE OXIGENO Y GASES MINERIA SUBTERRANEA</t>
  </si>
  <si>
    <t>SIGO-LV-ECF18-001</t>
  </si>
  <si>
    <t>LISTA DE VERIFICACION ESTANDARES DE CONTROL DE FATALIDADES - ECF-18 - AVALANCHAS</t>
  </si>
  <si>
    <t>SIGO-LV-ECF19-001</t>
  </si>
  <si>
    <t>LISTA DE VERIFICACION ESTANDARES DE CONTROL DE FATALIDADES - ECF-19 - OPERACIONES PORTUARIAS</t>
  </si>
  <si>
    <t>SIGO-LV-ECF20-001</t>
  </si>
  <si>
    <t>LISTA DE VERIFICACION ESTANDARES DE CONTROL DE FATALIDADES - ECF-20 - PUNTOS DE VACIADO Y CHIMENEAS</t>
  </si>
  <si>
    <t>SIGO-LV-ECF21-003</t>
  </si>
  <si>
    <t>LISTA DE VERIFICACION ESTANDARES DE CONTROL DE FATALIDADES - ECF-21 - VEHICULOS DE TRANSPORTE DE PERSONAS Y CARGA</t>
  </si>
  <si>
    <t>SIGO-LV-ECF22-001</t>
  </si>
  <si>
    <t>LISTA DE VERIFICACION ESTANDARES DE CONTROL DE FATALIDADES - ECF-22 - INSTALACIONES INDUSTRIALES Y SUS ESTRUCTURAS</t>
  </si>
  <si>
    <t>SIGO-LV-G5.ECF22-001</t>
  </si>
  <si>
    <t>LISTA DE VERIFICACION ESTANDARES DE CONTROL DE FATALIDADES - ECF-22 - GUIA TECNICA PISOS INDUSTRIALES</t>
  </si>
  <si>
    <t>SIGO-LV-G6.ECF22-001</t>
  </si>
  <si>
    <t>LISTA DE VERIFICACION ESTANDARES DE CONTROL DE FATALIDADES - ECF-22 - GUIA TECNICA BARANDAS Y ESCALERAS</t>
  </si>
  <si>
    <t>2.1 - Guía de los EST_baja</t>
  </si>
  <si>
    <t>GUIA DE LOS ESTANDARES DE SALUD EN EL TRABAJO (2013)</t>
  </si>
  <si>
    <t>SSO MA DAND/5 Guias EST+Formularios</t>
  </si>
  <si>
    <t>SIGO-I-017 Inst. Guía Programas de Protección Respiratoria v002</t>
  </si>
  <si>
    <t>INSTRUCTIVO – SIGO CODELCO GUIA PARA LA ELABORACION E IMPLEMENTACION DE PROGRAMAS DE PROTECCION RESPIRATORIA</t>
  </si>
  <si>
    <t>Acuerdo de HomologaciÃ³n de Salud Compatible para Trabajos en Faenas de Codelco Organismos Administradores de la Ley NÂ° 16.744</t>
  </si>
  <si>
    <t>SSO MA DAND/5 Guias EST+Formularios/00</t>
  </si>
  <si>
    <t>GCSSO-071 Acuerdo de HomologaciÃ³n de Salud Compatible para Trabajos en Faenas de Codelco, Organismos Administradores Ley 16744</t>
  </si>
  <si>
    <t>SIGO-P-016 Proc. Est. Higiene Ocupacional v002</t>
  </si>
  <si>
    <t>PROCEDIMIENTO ESTRUCTURAL – SIGO CODELCO HIGIENE OCUPACIONAL</t>
  </si>
  <si>
    <t>SSO MA DAND/5 Guias EST+Formularios/01</t>
  </si>
  <si>
    <t>PROCEDIMIENTO ESTRUCTURAL EST</t>
  </si>
  <si>
    <t>SSO MA DAND/5 Guias EST+Formularios/EST N°1</t>
  </si>
  <si>
    <t>EST N° 2 VIGILANCIA MEDICA OCUPACIONAL 2016</t>
  </si>
  <si>
    <t>SSO MA DAND/5 Guias EST+Formularios/EST N°2</t>
  </si>
  <si>
    <t>SSO MA DAND/5 Guias EST+Formularios/EST N°3</t>
  </si>
  <si>
    <t>ANEXO 3.0 IDENTIFICACION Y EVALUACION  EV CUALITATIVA DE AGENTES DE RIESGOS</t>
  </si>
  <si>
    <t>SSO MA DAND/5 Guias EST+Formularios/EST N°3/Doc Externa N°3</t>
  </si>
  <si>
    <t>CRITERIOS DE REPRESENTACION DE MUESTREO MONITORO Y MEDICION</t>
  </si>
  <si>
    <t>ESTRUCTRA DE PREVENCION</t>
  </si>
  <si>
    <t>MATRIZ DE AEAS Y PUNTOS CRITICOS</t>
  </si>
  <si>
    <t>NUMERO Y SELECCION DE MUESTRAS O MEDICION CRITERIOR</t>
  </si>
  <si>
    <t>EST N° 4 ERGONOMIA 2016</t>
  </si>
  <si>
    <t>ESTÁNDAR DE SALUD EN EL TRABAJO EST N°4 - ERGONOMIA</t>
  </si>
  <si>
    <t>SSO MA DAND/5 Guias EST+Formularios/EST N°4</t>
  </si>
  <si>
    <t>ANEXO 4.1 SOLICITUD INTERV  ERGO</t>
  </si>
  <si>
    <t>SSO MA DAND/5 Guias EST+Formularios/EST N°4/Doc Externa N°4</t>
  </si>
  <si>
    <t>ANEXO 4.2 LISTA DE CHEQUEO MMC</t>
  </si>
  <si>
    <t>ANEXO 4.3 METODOLOGIAS DE EV RIESGO ME</t>
  </si>
  <si>
    <t>ANEXO 4.5 LISTA DE CHEQEO  TMERT ES</t>
  </si>
  <si>
    <t>ANEXO 4.7 FORMATO INF ANALISIS ERGONOMICO  OPERATIVO</t>
  </si>
  <si>
    <t>ANEXO 4.8  FORMATO INF ANALISIS ERG  P. ADMIN</t>
  </si>
  <si>
    <t>IT 4.4 INSTRUCTIVO DE APLICACION MAC Y LIBERTIY</t>
  </si>
  <si>
    <t>IT 4.6 INSTRUCTIVO PARA FACT DE RIESGOS  TMERT</t>
  </si>
  <si>
    <t>IT 4.8 ANTROPOMETRIA Y DISEÑO ERGONOMICO EQUIPOS Y MOV</t>
  </si>
  <si>
    <t>EST N° 5 SALUD COMPATIBLE EXAMENES PREOCUPACIONALES Y OCUPACIONALES 2016</t>
  </si>
  <si>
    <t>SSO MA DAND/5 Guias EST+Formularios/EST N°5</t>
  </si>
  <si>
    <t>ANEXO_5_1_TABLA_RESPONSABILIDADES_EXS__PRE-OCUPACIONALES_PROPIOS</t>
  </si>
  <si>
    <t>SSO MA DAND/5 Guias EST+Formularios/EST N°5/Doc Externa N°5</t>
  </si>
  <si>
    <t>ANEXO_5_2_TABLA_EXPOSICIÓN_EVALUACIÓN_PRE-OCUPACIONAL</t>
  </si>
  <si>
    <t>ANEXO_5_3__BATERIA_EXAMENES_PREOCUPACIONALES</t>
  </si>
  <si>
    <t>ANEXO_5_4__INFORME_DE_EVAL_PREOCUPACIONAL__DSO_A_RRHH</t>
  </si>
  <si>
    <t>ANEXO_5_5_TABLA_DE_RESPONSABILIDADES_EX_PREOCUP_TRABAJADOR_EECC</t>
  </si>
  <si>
    <t>ANEXO_5_6_TABLA_DE_EXPOSICION_PARA_EVALUACION_OCUPACIONAL</t>
  </si>
  <si>
    <t>ANEXO_5_7__BATERIA_EXAMENES_OCUPACIONALES</t>
  </si>
  <si>
    <t>ANEXO_5_8__INFORME_DE_SALUD_COMPATIBLE_DSO_A_RRHH</t>
  </si>
  <si>
    <t>EST N° 6 FATIGA Y SOMNOLENCIA 2016</t>
  </si>
  <si>
    <t>ESTÁNDAR DE SALUD EN EL TRABAJO EST N°6 - FATIGA Y SOMNOLENCIA</t>
  </si>
  <si>
    <t>SSO MA DAND/5 Guias EST+Formularios/EST N°6</t>
  </si>
  <si>
    <t>SIGO-I-027 Instructivo para uso de Dispositivos Tecnológicos</t>
  </si>
  <si>
    <t>SIGO-P-008 - Procedimiento de Fatiga y Somnolencia rev002</t>
  </si>
  <si>
    <t>ANEXO 6.1 CUESTIONARIO BREVE SOMNOLENCIA</t>
  </si>
  <si>
    <t>SSO MA DAND/5 Guias EST+Formularios/EST N°6/Doc Externa N°6</t>
  </si>
  <si>
    <t>SGI-I-GE-034.00 RESPUESTA INMEDIATA ANTE INCIDENTES CRITICOS</t>
  </si>
  <si>
    <t>SSO MA DAND/5 Guias EST+Formularios/EST N°7</t>
  </si>
  <si>
    <t>ANEXO 7.1 CONSENTIMIENTO INFORMADO  RIIC</t>
  </si>
  <si>
    <t>SSO MA DAND/5 Guias EST+Formularios/EST N°7/Doc Externa N°7</t>
  </si>
  <si>
    <t>SIGO-EST-08 Estándar de Salud en el Trabajo - Alcohol, Drogas y Tabaco, V2</t>
  </si>
  <si>
    <t>SSO MA DAND/5 Guias EST+Formularios/EST N°8</t>
  </si>
  <si>
    <t>SGI-I-GE-038.00 ESTANDAR SALUD EN EL TRABAJO N° 10 MATERNIDAD</t>
  </si>
  <si>
    <t>SSO MA DAND/5 Guias EST+Formularios/EST N°10</t>
  </si>
  <si>
    <t>SIGO-LV-EST01-001</t>
  </si>
  <si>
    <t>LISTA VERIFICACION GUIA EST. SALUD EN EL TRABAJO N°1 - EST-1 - GESTION DE SALUD EN EL TRABAJO</t>
  </si>
  <si>
    <t>SSO MA DAND/5 Guias EST+Formularios/SIGO-LV-EST</t>
  </si>
  <si>
    <t>SIGO-LV-EST02-001</t>
  </si>
  <si>
    <t>LISTA VERIFICACION GUIA EST. SALUD EN EL TRABAJO N°2 - EST-2 - VIGILANCIA MEDICA OCUPACIONAL</t>
  </si>
  <si>
    <t>SIGO-LV-EST03-001</t>
  </si>
  <si>
    <t>LISTA VERIFICACION GUIA EST. SALUD EN EL TRABAJO N°3 - EST-3 - HIGIENE OCUPACIONAL</t>
  </si>
  <si>
    <t>SIGO-LV-EST04-001</t>
  </si>
  <si>
    <t>LISTA VERIFICACION GUIA EST. SALUD EN EL TRABAJO N°4 - EST-4 - ERGONOMIA</t>
  </si>
  <si>
    <t>SIGO-LV-EST05-001</t>
  </si>
  <si>
    <t>LISTA VERIFICACION GUIA EST. SALUD EN EL TRABAJO N°5 - EST-5 - SALUD COMPATIBLE, EXAMENES PRE-OCUPACIONALES Y OCUPACIONALES</t>
  </si>
  <si>
    <t>SIGO-LV-EST06-001</t>
  </si>
  <si>
    <t>LISTA VERIFICACION GUIA EST. SALUD EN EL TRABAJO N°6 - EST-6 - FATIGA Y SOMNOLENCIA</t>
  </si>
  <si>
    <t>SIGO-LV-EST07-001</t>
  </si>
  <si>
    <t>LISTA VERIFICACION GUIA EST. SALUD EN EL TRABAJO N°7 - EST-7 - FACTORES BIOPSICOSOCIALES</t>
  </si>
  <si>
    <t>SIGO-LV-EST08-001</t>
  </si>
  <si>
    <t>LISTA VERIFICACION GUIA EST. SALUD EN EL TRABAJO N°8 - EST-8 - ALCOHOL, DROGAS Y TABACO</t>
  </si>
  <si>
    <t>SIGO-LV-EST09-001</t>
  </si>
  <si>
    <t>LISTA VERIFICACION GUIA EST. SALUD EN EL TRABAJO N°9 - EST-9 - RESTRICCIONES, REUBICACIONES, REHABILITACION Y REEDUCACION LABORAL</t>
  </si>
  <si>
    <t>SIGO-LV-EST10-001</t>
  </si>
  <si>
    <t>LISTA VERIFICACION GUIA EST. SALUD EN EL TRABAJO N°10 - EST-10 - MATERNIDAD</t>
  </si>
  <si>
    <t>F 4.5-04 Investigación de incidentes Giovanne Mora Apablaza DAND</t>
  </si>
  <si>
    <t>SSO MA DAND/6 SGRA</t>
  </si>
  <si>
    <t>formato IAMBIENTAL LEVE</t>
  </si>
  <si>
    <t>ANALISIS CAUSAL DE INCIDENTE OPERACIONAL CON CONSECUENCIAS AMBIENTALES DE CATEGORIA LEVE</t>
  </si>
  <si>
    <t>M. AMBIENTAL</t>
  </si>
  <si>
    <t>SISTEMA DE GESTIÓN DE RELACIONAMIENTO COMUNITARIO</t>
  </si>
  <si>
    <t>SISTEMA DE GESTIÓN DE RELACIONAMIENTO COMUNITARIO PROCEDIMIENTO DE GESTIÓN COMUNITARIA DAND</t>
  </si>
  <si>
    <t>SGRA-I-GE-001 Atencion Comunicacion Incid Amb</t>
  </si>
  <si>
    <t>SSO MA DAND/6 SGRA/1- INSTRUCTIVOS GSAE</t>
  </si>
  <si>
    <t>SGRA-I-GE-002 Manejo Residuos Solidos</t>
  </si>
  <si>
    <t>SGRA-I-GE-003 Preparacion PPMA</t>
  </si>
  <si>
    <t>INSTRUCTIVO: PREPARACIÓN DEL PLAN DE PROTECCIÓN AMBIENTAL (PPMA)</t>
  </si>
  <si>
    <t>SGRA-I-GE-005 Atencion de Autoridades</t>
  </si>
  <si>
    <t>SGRA-I-GE-008 Hallazgos restos arqueologicos</t>
  </si>
  <si>
    <t>SGRA-I-GE-011 Alerta EstacionesMonitoreoPolvo MinaRajo rev 1</t>
  </si>
  <si>
    <t>SGRA-I-GE-012 Material Particulado Tranque de Relaves Ovejeria</t>
  </si>
  <si>
    <t>SGRA-I-GE-014 Control derrames Estacion Sur Sur</t>
  </si>
  <si>
    <t>SGRA-I-GE-015 Control derrames Mina Rajo</t>
  </si>
  <si>
    <t>SGRA-I-GE-13 Derrame Relaves y Concentrado</t>
  </si>
  <si>
    <t>INSTRUCTIVO: ALMACENAJE Y MANEJO DE RESIDUOS SÓLIDOS EN AREAS GENERADORAS</t>
  </si>
  <si>
    <t>SSO MA DAND/6 SGRA/2- PROCEDIMIENTOS</t>
  </si>
  <si>
    <t>SGRA-P-GE-001 Utilizacion Recurso Hidrico en DAND rev 01</t>
  </si>
  <si>
    <t>SGRA-P-GE-004 Gestion Incidentes Ambientales</t>
  </si>
  <si>
    <t>SGRA-P-GE-005 Manejo Residuos Solidos en Areas Generadoras v2</t>
  </si>
  <si>
    <t>SGRA-P-GE-007 Desempeño Ambiental de Empresas Contratistas</t>
  </si>
  <si>
    <t>SGRA-P-GE-008 Comunic. int. y ext. GSAE en DAND</t>
  </si>
  <si>
    <t>SGRA-P-GE-009 Autoriz. Emplaz. Instal.Superficiales en DAND</t>
  </si>
  <si>
    <t>SGRA-P-GE-010 Gestión de Permisos DAND</t>
  </si>
  <si>
    <t>SGRA-P-GE-011 Gestion de RCA</t>
  </si>
  <si>
    <t>PROCEDIMIENTO: GESTION DE RCA</t>
  </si>
  <si>
    <t>SGRA-P-GE-012 Catastro Emisiones Gaseosas DAND</t>
  </si>
  <si>
    <t>SGRA-P-GE-014 Procedimiento Contingencia Despacho y TDRB</t>
  </si>
  <si>
    <t>SGRA-P-GE-015 Procedimiento descarga de combustiblees estacion Sur Sur</t>
  </si>
  <si>
    <t>SGRA-P-GE-016 Procedimiento Piuquenes</t>
  </si>
  <si>
    <t>PROCEDIMIENTO DE CONTINGENCIA PROYECTO DE EXTRACCION DE ARIDOS SECTOR PIQUENES</t>
  </si>
  <si>
    <t>SGRA-P-GE-017 Procedimeintos Electricos final</t>
  </si>
  <si>
    <t>SGRA-P-GE-018 Procedimiento PTR final</t>
  </si>
  <si>
    <t>PLAN DE PREVENCION DE CONTINGENCIAS Y EMERGENCIAS DEL PROYECTO PLANTA DE RECUPERACION DE COBRE Y MOLIBDENO DESDE RELAVES</t>
  </si>
  <si>
    <t>SGRA-P-GE-019 Procedimiento Mina Rajo Suelos Depositos</t>
  </si>
  <si>
    <t>SGRA-P-GE-020 Procediemiento contingencias sustancias</t>
  </si>
  <si>
    <t>SGRA-P-GE-13 Procedimiento áreas vulnerables v02</t>
  </si>
  <si>
    <t>EAC_Gerencia Minas_GMIN</t>
  </si>
  <si>
    <t>GUIA DE APLICACIÓN DE ESTADARES AMBIENTALES Y COMUNITARIOS - APLICACIÓN GERENCIA DE MINAS</t>
  </si>
  <si>
    <t>SSO MA DAND/6 SGRA/ESTANDARES</t>
  </si>
  <si>
    <t>EAC_Gerencia Plantas_GPLA</t>
  </si>
  <si>
    <t>GUIA DE APLICACIÓN DE ESTADARES AMBIENTALES Y COMUNITARIOS - GERENCIA DE PLANTAS</t>
  </si>
  <si>
    <t>EAC_Gerencia Recursos Hidricos, Concentraducto y Relaves_GRHCR</t>
  </si>
  <si>
    <t>EAC_Gerencia Servicios_GSER</t>
  </si>
  <si>
    <t>GUIA DE APLICACIÓN DE ESTADARES AMBIENTALES Y COMUNITARIOS - GERENCIA DE SERVICIO</t>
  </si>
  <si>
    <t>Estándares Ambientales y Comunitarios CODELCO (11)</t>
  </si>
  <si>
    <t>GUIAX</t>
  </si>
  <si>
    <t>GUIA X M. AMBIENTAL</t>
  </si>
  <si>
    <t>SGRA-M-GE-001 Sistema Gestion Riesgo Ambiental</t>
  </si>
  <si>
    <t>MANUAL: SISTEMA DE GESTIÓN DE RIESGO AMBIENTAL DE GSAE - DAND</t>
  </si>
  <si>
    <t>MANUAL</t>
  </si>
  <si>
    <t>SSO MA DAND/6 SGRA/MANUALES</t>
  </si>
  <si>
    <t>SGRA-M-GE-002 Base Documental Permisos Sectoriales_jul2017</t>
  </si>
  <si>
    <t>Registro NCC38</t>
  </si>
  <si>
    <t>REGISTRO DE INCIDENTES AMBIENTALES</t>
  </si>
  <si>
    <t>SSO MA DAND/6 SGRA/REGISTROS</t>
  </si>
  <si>
    <t>SGRA-F-GE-005 Matriz de Fuentes Fijas</t>
  </si>
  <si>
    <t>MATRIZ DE FUENTES FIJAS</t>
  </si>
  <si>
    <t>MATRIZ</t>
  </si>
  <si>
    <t>APLICACIÓN ANÁLISIS DE RIESGOS DE SUSTENTABILIDAD PARA PROYECTOS (NCC 24)</t>
  </si>
  <si>
    <t>PROCEDIMIENTO DE APLICACION ANALISIS DE RIESGOS DE SUSTENTABILIDAD PARA PROYECTOS (NCC- 24)</t>
  </si>
  <si>
    <t>SSO MA DAND/7 NCC</t>
  </si>
  <si>
    <t>NCC 24</t>
  </si>
  <si>
    <t>NCC 38 v1</t>
  </si>
  <si>
    <t>NCC N°38 - GESTION DE INCIDENTES OPERACIONALES CON CONSECUENCIAS AMBIENTALES</t>
  </si>
  <si>
    <t>NCC 40 Rev.01</t>
  </si>
  <si>
    <t>NCC N°40 - SEGURIDAD CONTRA INCENDIO</t>
  </si>
  <si>
    <t>SGP-07MYC-PROGS-00009 NCC 30</t>
  </si>
  <si>
    <t>PROCEDIMIENTO DESARROLLO TALLER DE MANTENIBILIDAD Y CONFIABILIDAD NCC 30</t>
  </si>
  <si>
    <t>Listado de Eventos de Alto Impacto DAND 2019</t>
  </si>
  <si>
    <t>LISTADO DE EVENTOS DE ALTO IMPACTO</t>
  </si>
  <si>
    <t>SSO MA DAND/8 IPER</t>
  </si>
  <si>
    <t>SIGO-P-012 Procedimiento Estructural para la Gestión de Pérdidas v001</t>
  </si>
  <si>
    <t>PROCEDIMIENTO ESTRUCTURAL - SIGO CODELCO PARA LA GESTION DE PERDIDAS</t>
  </si>
  <si>
    <t>SIGO-F-006 - Formulario Matriz de Riesgos</t>
  </si>
  <si>
    <t>MATRIZ DE RIESGOS DE PROCESOS</t>
  </si>
  <si>
    <t>SSO MA DAND/8 IPER/Formato IPER</t>
  </si>
  <si>
    <t>Módulo 2 - Matriz de Riesgos de procesos</t>
  </si>
  <si>
    <t>ELEMENTO 2 - MATRIZ DE RIESGOS DE PROCESOS</t>
  </si>
  <si>
    <t>SSO MA DAND/8 IPER/Presentaciones</t>
  </si>
  <si>
    <t>17.01.10 - SIGO-GUIA-RC - Guia sobre los controles de los Riesgos Crític...</t>
  </si>
  <si>
    <t>SSO MA DAND/8 IPER/Presentaciones/Guia Controles</t>
  </si>
  <si>
    <t>SIGO-F-011 - Mapa de Proceso</t>
  </si>
  <si>
    <t>MAPA DE PROCESOS, ACTIVIDADES Y TAREAS DE UNA UNIDAD ORGANIZACIONAL EN ESTUDIO</t>
  </si>
  <si>
    <t>SSO MA DAND/8 IPER/SIGO-F-011</t>
  </si>
  <si>
    <t>SIGO-P-006  Administración de Riesgos v2</t>
  </si>
  <si>
    <t>PROCEDIMIENTO ESTRUCTURAL - ADMINISTRACION DE RIESGOS SEGURIDAD, SALUD EN EL TRABAJO Y RIESGOS OPERACIONALES</t>
  </si>
  <si>
    <t xml:space="preserve">SSO MA DAND/8 IPER/SIGO-P-006 </t>
  </si>
  <si>
    <t>18 SISTEMA GESTIÓN CODELCO (SIGO)</t>
  </si>
  <si>
    <t>SISTEMA DE GESTION PARA LA SEGURIDAD, SALUD EN EL TRABAJO Y RIESGOS OPERACIONALES</t>
  </si>
  <si>
    <t>SSO MA DAND/9 Manual del SSGT y Proc estructurales</t>
  </si>
  <si>
    <t>ManualSGSSO</t>
  </si>
  <si>
    <t>MANUAL PARA LA ADMINISTRACION DE LA SEGURIDAD Y SALUD OCUPACIONAL</t>
  </si>
  <si>
    <t>MGCC_V12  2023</t>
  </si>
  <si>
    <t>MANUAL DE GESTION PARA CONTROLES CRITICOS SSO</t>
  </si>
  <si>
    <t>ACTUACION EMERGENCIAS AMBIENTALES REC HIDRICO</t>
  </si>
  <si>
    <t>ACTUACION EN CASO DE EMERGENCIAS AMBIENTALES</t>
  </si>
  <si>
    <t>SSO MA DAND/10 Emergencias</t>
  </si>
  <si>
    <t>ACTUACION EN CASO DE EMERGENCIA POR EMANACION DE GAS NITROSO GENERAL_PLANTA</t>
  </si>
  <si>
    <t>ACTUACIÓN EN CASO DE EMERGENCIA POR EMANACION DE GAS NITROSO GENERAL PLANTA</t>
  </si>
  <si>
    <t>ACTUACION EN CASO DE EMERGENCIA POR EMANACION DE GAS SULFHIDRICO GENERAL PLANTA</t>
  </si>
  <si>
    <t>ACTUACIÓN EN CASO DE EMERGENCIA POR EMANACION DE GAS SULFHIDRICO GENERAL PLANTA</t>
  </si>
  <si>
    <t>ACTUACION EN CASO DE FUGA DE GAS CLORO</t>
  </si>
  <si>
    <t>ACTUACION EN CASO DE FUGA DE GAS CLORO FUERA DE CONTROL</t>
  </si>
  <si>
    <t>ACTUACION EN CASO DE INCENDIO EN LA SPMFC</t>
  </si>
  <si>
    <t>ACTUACIÓN EN CASO DE INCENDIO EN LA SUPERINTENDENCIA PLANTA DE MOLIBDENO Y FILTRADO DE COBRE</t>
  </si>
  <si>
    <t>ACTUACION Y EVACUACIÓN EN CASO DE INCENDIO PLANTAS TRASPASO EN PEM</t>
  </si>
  <si>
    <t>ACTUACIÓN Y EVACUACIÓN EN CASO DE INCENDIO PLANTAS TRASPASO EN PUESTA EN MARCHA</t>
  </si>
  <si>
    <t>ACTUACIÓN DEL PERSONAL EN CASO DE INCENDIO 2022</t>
  </si>
  <si>
    <t>ACTUACION DEL PERSONAL EN CASO DE INCENDIO EN MINA SUBTERRANEA</t>
  </si>
  <si>
    <t>ACTUACIÓN EN CASO DE CORTE TOTAL O PARCIAL DE ENERGIA ELÉCTRICA YO FLUCTUACIONES DE ENERGIA EN PLANTA CONCENTRADORA</t>
  </si>
  <si>
    <t>ACTUACIÓN EN CASO DE EMERGENCIA EDIFICIO BARRIO CÍVICO NODO 3500</t>
  </si>
  <si>
    <t>ACTUACION EN CASO DE EMERGENCIA EDIFICIO BARRIO CIVIL NODO 3500 DIV. ANDINA</t>
  </si>
  <si>
    <t>MANUAL DE EMERGENCIAS TRANQUE OVEJERIA</t>
  </si>
  <si>
    <t>MANUAL DE EMERGENCIAS TRANQUE DE RELAVES OVEJERIA</t>
  </si>
  <si>
    <t>PLAN DE EMERGENCIA PARA ACTUACION DE DERRAMES DE SUSTANCIAS PELIGROSAS Y RILES FUERA DE DISEÑO AL RIO BLANCO</t>
  </si>
  <si>
    <t>PLAN EMERGENCIA PLANTAS TRASPASO PEM</t>
  </si>
  <si>
    <t>PLAN DE EMERGENCIAS PLANTAS TRASPASO EN PUESTA EN MARCHA</t>
  </si>
  <si>
    <t>PROCEDIMIENTO DE RESPUESTA A EMERGENCIAS GERENCIA PLANTAS</t>
  </si>
  <si>
    <t>PROCEDIMIENTO DE RESPUESTAS A EMERGENCIAS GERENCIA PLANTAS</t>
  </si>
  <si>
    <t>PROCEDIMIENTO DE RESPUESTAS ANTE EMERGENCIAS PROCESO SRTC</t>
  </si>
  <si>
    <t>PROCEDIMIENTO DE RESPUESTAS ANTE EMERGENCIAS PROCESO RELAVES Y TRANSPORTE DE CONCENTRADO - AREA CORDILLERA</t>
  </si>
  <si>
    <t>PROCEDIMIENTO EN CASO DE TORMENTAS ELÉCTRICAS</t>
  </si>
  <si>
    <t>TRANSITO EN TUNELES EN STR</t>
  </si>
  <si>
    <t>USO DE REFUGIO MINA SUBTERRANEA</t>
  </si>
  <si>
    <t>Comunicado Calidad Trabajadores(a) EECC v02</t>
  </si>
  <si>
    <t>DECLARACIÓN CALIDAD DE TRABAJADORES(AS) EN SISTEMA DE ACREDITACIÓN</t>
  </si>
  <si>
    <t>CARTA</t>
  </si>
  <si>
    <t>SSO MA DAND/11 Manual  Workmate EECC</t>
  </si>
  <si>
    <t>Manual EECC WORKMATE</t>
  </si>
  <si>
    <t>MANUAL EMPRESA CONTRATISTA WORKMATE</t>
  </si>
  <si>
    <t>Paso a Paso exclusividad e ingreso a faena (1)</t>
  </si>
  <si>
    <t>PASO A PASO EXCLUSIVIDAD Y DENTRO FUERA DE FAENA</t>
  </si>
  <si>
    <t>Formulario ART</t>
  </si>
  <si>
    <t>FORMULARIO ART</t>
  </si>
  <si>
    <t>SSO MA DAND/ART y Procedimiento</t>
  </si>
  <si>
    <t>SIGO-ET-006 Estándar Técnico Aplicación Tarjeta Verde</t>
  </si>
  <si>
    <t>ESTANDAR TECNICO APLICACIÓN TARJETA VERDE</t>
  </si>
  <si>
    <t>SIGO-G-012 - Guía de Controles Críticos que Salvan Vidas</t>
  </si>
  <si>
    <t>GUIA DE CONTROLES CRITICOS QUE SALVAN VIDAS</t>
  </si>
  <si>
    <t>INGRESO Y RETIRO DE LA SCO</t>
  </si>
  <si>
    <t>INGRESO Y RETIRO DE LA SUPERINTENDENCIA CONCENTRADOR</t>
  </si>
  <si>
    <t>SSO MA DAND/BEL</t>
  </si>
  <si>
    <t>SIGO-I-029 Instructivo -Programa de Tutoría para Trabajadores-as con Baj... (1)</t>
  </si>
  <si>
    <t>INSTRUCTIVO PROGRAMA DE TUTORIA PARA TRABAJADORES/AS CON BAJA EXPERIENCIA LABORAL EN MINERIA</t>
  </si>
  <si>
    <t>Camionetas_final_v3</t>
  </si>
  <si>
    <t>PLAN DE IMPLEMENTACION USO DE CAMIONETAS</t>
  </si>
  <si>
    <t>SSO MA DAND/De la conduccion</t>
  </si>
  <si>
    <t>INGRESO Y TRANSITO EN CAMINOS SECUNDARIOS</t>
  </si>
  <si>
    <t>MANUAL PLAN DE TRANSITO STR</t>
  </si>
  <si>
    <t>PLAN DE TRANSITO STR</t>
  </si>
  <si>
    <t>PLAN DE TRANSITO DE LA SCO</t>
  </si>
  <si>
    <t>PLAN DE TRÁNSITO SUPERINTENDENCIA DE CONCENTRACIÓN</t>
  </si>
  <si>
    <t>PLAN DE TRANSITO SUPERINTENDENCIA MOLIBDENO Y FILTRADO DE COBRE Rev 04</t>
  </si>
  <si>
    <t>PLAN DE TRANSITO Y SEGREGACIÓN SUPERINTENDENCIA MOLIBDENO Y FILTRADO DE COBRE</t>
  </si>
  <si>
    <t>PLAN DE TRANSITO Y SEGREGACION PMFC</t>
  </si>
  <si>
    <t>PLAN GENERAL DE EMERGENCIAS SPMFC</t>
  </si>
  <si>
    <t>PLAN GENERAL DE EMERGENCIAS SUPERINTENDENCIA PLANTA DE MOLIBDENO Y FILTRADO DE COBRE</t>
  </si>
  <si>
    <t>PLAN GESTIÓN DE TRANSITO MS 2022</t>
  </si>
  <si>
    <t>PLAN DE GESTIÓN DE TRANSITO MINA SUBTERRANEA</t>
  </si>
  <si>
    <t>PLAN TRANSITO TRASPASO,CDM,SECUNDARIO,CORREA REGENERATIVA CABEZAL Y COLA</t>
  </si>
  <si>
    <t>INSTRUCTIVO PLAN  DE TRANSITO TRASPASO, CMD, SECUNDARIO, CORREA REGENERATIVA CABEZAL Y COLA</t>
  </si>
  <si>
    <t>SEÑALIZACIÓN TRANSITORIA Y MEDIDAS DE SEGURIDAD PARA TRABAJOS EN EL CAMINO INDUSTRIAL</t>
  </si>
  <si>
    <t>ETAPA DE EJECUCIÓN</t>
  </si>
  <si>
    <t>PROCEDIMIENTO ETAPA DE EJECUCION</t>
  </si>
  <si>
    <t>SSO MA DAND/Doc GPRO</t>
  </si>
  <si>
    <t>PROGRAMACION OBRAS EN DETENCION DE PLANTAS</t>
  </si>
  <si>
    <t>PROCEDIMIENTO OPERATIVO PROGRAMACIÓN OBRAS EN DETENCIÓN DE PLANTAS</t>
  </si>
  <si>
    <t>SGI-F-GPRO-011.03 PROTOCOLO IDENTIFICACIÓN DE INTERFERENCIAS EN TERRENO</t>
  </si>
  <si>
    <t>PROTOCOLO IDENTIFICACION DE INTERFERENCIAS EN TERRENO</t>
  </si>
  <si>
    <t>SIGO-P-GY 017 PROCESO DE PUESTA EN MARCHA GERENCIA DE PROYECTOS</t>
  </si>
  <si>
    <t>PROCESO DE PUESTA EN MARCHA GERENCIA DE PROYECTOS</t>
  </si>
  <si>
    <t>ESTANDAR CONTROL DE FATALIDADES ECF 1 AISLACION Y BLOQUEO</t>
  </si>
  <si>
    <t>ESTÁNDAR CONTROL DE FATALIDADES ECF 1 - AISLACIÓN Y BLOQUEO</t>
  </si>
  <si>
    <t>SSO MA DAND/Documentos Electricos</t>
  </si>
  <si>
    <t>REGLAMENTO SEGURIDAD EÉLECTRICA  2022 Rev 07</t>
  </si>
  <si>
    <t>REGLAMENTO INTERNO DE SEGURIDAD ELÉCTRICA 2022</t>
  </si>
  <si>
    <t>SGSSO-I-011SGSSO Permiso de Trabajo de Equipos Energizados (PTEE)rev 001</t>
  </si>
  <si>
    <t>INSTRUCTIVO PERMISO DE TRABAJO EN EQUIPOS ENERGIZADOS</t>
  </si>
  <si>
    <t>SGSSO-I-012 Solicitud Desconexión e Intervención (SODI)rev 001</t>
  </si>
  <si>
    <t>INSTRUCTIVO APLICACIÓN SOLICITUD DE DESCONEXION E INTERVENCION (SODI) PARA REALIZAR TRABAJOS ELECTRICOS</t>
  </si>
  <si>
    <t>SGSSO-I-013 Reg del uso de la Lic para inter y realizar man. rev 003-2018</t>
  </si>
  <si>
    <t>INSTRUCTIVO REGULACION DEL USO DE LA LICENCIA ELECTRICA (LE) PARA INTERVENIR Y REALIZAR MANIOBRAS EN EQUIPOS Y SISTEMAS ELECTRICOS</t>
  </si>
  <si>
    <t>SIGO-I-013  Instructivos Licencia Electrica Rev. 03 -2018</t>
  </si>
  <si>
    <t>INSTRUCTIVO LICENCIA ELECTRICA</t>
  </si>
  <si>
    <t>SIGO-I-038 Tableros Eléctricos Portátiles de Terreno r0 -2019</t>
  </si>
  <si>
    <t>INSTRUCTIVO - SIGO CODELCO TABLEROS ELECTRICOS PORTATILES DE TERRENO</t>
  </si>
  <si>
    <t>SIGO-I-039 Movimiento de Cable Minero en Rajo Mina r0 2019</t>
  </si>
  <si>
    <t>INSTRUCTIVO - SIGO CODELCO MOVIMIENTO DE CABLE MINERO EN RAJO INCA</t>
  </si>
  <si>
    <t>SIGO-I-040 Equipos de Salvataje en Salas Eléctricas r0 2019</t>
  </si>
  <si>
    <t>INSTRUCTIVO - SIGO CODELCO EQUIPOS DE SALVATAJE EN SALAS ELECTRICAS</t>
  </si>
  <si>
    <t>SIGO-P-MS 309 REQUISITOS PARA PERSONAL AUTORIZADO ELECTRICO SMMS Rev03 2020</t>
  </si>
  <si>
    <t>PROCEDIMIENTO OPERATIVO REQUISITOS PARA PERSONAL AUTORIZADO ELECTRICISTA SMMS</t>
  </si>
  <si>
    <t>SIGO-R-001 Reglamento electrico Corporativo  Rev 01 - 2018</t>
  </si>
  <si>
    <t>REGLAMENTO ELECTRICO CORPORATIVO</t>
  </si>
  <si>
    <t>TRABAJOS  ESPECIALES DE MANTENIMIENTO SIST. ELEC</t>
  </si>
  <si>
    <t>TRABAJOS ESPECIALES DE MANTENIMIENTO SISTEMAS ELECTRICOS</t>
  </si>
  <si>
    <t>CAMBIO DE NEUMATICOS VEHICULOS LIVIANOS</t>
  </si>
  <si>
    <t>INSTRUCTIVO CAMBIO DE NEUMÁTICOS VEHÍCULOS LIVIANOS</t>
  </si>
  <si>
    <t>SSO MA DAND/Documentos operativos</t>
  </si>
  <si>
    <t>ENTREGA Y DEVOLUCION DEL AREA EN MINA SUBTERRANEA</t>
  </si>
  <si>
    <t>INSTRUCTIVO ENTREGA Y DEVOLUCIÓN DEL ÁREA EN MINA SUBTERRANEA</t>
  </si>
  <si>
    <t>PROCEDIMIENTO APLICACION DE PERMISO DE TRABAJO EN CALIENTE</t>
  </si>
  <si>
    <t>PROCEDIMIENTO - SIGO CODELCO PROCEDIMIENTO PARA APLIACACION DE PERMISOS DE TRABAJOS EN CALIENTE</t>
  </si>
  <si>
    <t>PROCEDIMIENTO TRABAJOS SOBRE RAMPAS O SUPERFICIES DE CAMIONES</t>
  </si>
  <si>
    <t>PROTOCOLO DE ENTREGA Y DEVOLUCION DEL AREA rev.03</t>
  </si>
  <si>
    <t>PROTOCOLO DE ENTREGA Y DEVOLUCION DEL AREA</t>
  </si>
  <si>
    <t>RETIRO DE PIEDRAS DE ENTRE NEUMATICOS</t>
  </si>
  <si>
    <t>SEÑALETICA</t>
  </si>
  <si>
    <t>PROCEDIMIENTO GENERAL SEÑALETICA</t>
  </si>
  <si>
    <t>SIGO-I-CO-132  INGRESO Y RETIRO DE LA SUPERINTENDENCIA CHANCADO Y TRANSPORTE</t>
  </si>
  <si>
    <t>INGRESO Y RETIRO DE LA SUPERINTENDENCIA CHANCADO Y TRANSPORTE</t>
  </si>
  <si>
    <t>SIGO-P-CO-902 INGRESO Y RETIRO DE LA SUPERINTENDENCIA CONCENTRADOR</t>
  </si>
  <si>
    <t>SIGO-P-GE 118 SEGREGACION DE AREAS 00</t>
  </si>
  <si>
    <t>PROCEDIMIENTO DE SEGREGACIÓN DE ÁREAS</t>
  </si>
  <si>
    <t>SIGO-P-GE-020 SEÑALETICA 05</t>
  </si>
  <si>
    <t>SIGO-P-GE-142.03 PROCEDIMIENTO ENTREGA DE AREA REV 3</t>
  </si>
  <si>
    <t>PROCEDIMIENTO ENTREGA DE ÁREA</t>
  </si>
  <si>
    <t>SIGO-P-MS-002 USO DE REFUGIO MINA SUBTERRANEA</t>
  </si>
  <si>
    <t>USO DE REFUGIO MINA SUBTERRÁNEA</t>
  </si>
  <si>
    <t>VIGILANTE DE INCENDIO (TRABAJO EN CALIENTE)</t>
  </si>
  <si>
    <t>INSTRUCTIVO VIGILANTE DE INCENDIO (TRABAJO EN CALIENTE)</t>
  </si>
  <si>
    <t>Formularios Espacios confinados</t>
  </si>
  <si>
    <t>FORMULARIO ESPACIO CONFINADO</t>
  </si>
  <si>
    <t>SSO MA DAND/Espacios confinados</t>
  </si>
  <si>
    <t>SIGO-P-032 Procedimiento Trabajos en Espacios Confinados v002</t>
  </si>
  <si>
    <t>PROCEDIMIENTO - SIGO CODELCO TRABAJOS EN ESPACIOS CONFINADOS</t>
  </si>
  <si>
    <t>2022_FORMATO_EVITA_FINAL</t>
  </si>
  <si>
    <t>FORMATO EVITA FINAL</t>
  </si>
  <si>
    <t>SSO MA DAND/Gestion de incidentes+ Formatos</t>
  </si>
  <si>
    <t>2022_FORMATO_RDP 3 PASOS FINAL</t>
  </si>
  <si>
    <t>2022 FORMATO RDP 3 PASOS FINAL</t>
  </si>
  <si>
    <t>2022_FORMATO_RDP 8 PASOS FINAL</t>
  </si>
  <si>
    <t>2022 FORMATO RDP 8 PASOS FINAL</t>
  </si>
  <si>
    <t>Flash corporativo de Seguridad (SIGO F-010 V004 y y SIGO-F-025 v002)</t>
  </si>
  <si>
    <t xml:space="preserve">FLASH CORPORATIVO DE SEGURIDAD </t>
  </si>
  <si>
    <t>Nuevo Formato Informe Flash DAND - 2022</t>
  </si>
  <si>
    <t>INFORME FLASH DE INCIDENTE</t>
  </si>
  <si>
    <t>SIGO-ET-001 Arbol de decisión para calificación de eventos significativo</t>
  </si>
  <si>
    <t>SIGO-ET-002 Estándar Técnico Metodologías de Investigación de Incidentes V0</t>
  </si>
  <si>
    <t>SIGO-P-003 Procedimiento Estructural Gestión de Incidentes V5</t>
  </si>
  <si>
    <t>PROCEDIMIENTO ESTRUCTURAL SIGO CODELCO GESTION DE INCIDENTES</t>
  </si>
  <si>
    <t>SSO MA DAND/Manual del SSGT y Proc estructurales</t>
  </si>
  <si>
    <t>Guia Implementación RESSO Dic. 2022</t>
  </si>
  <si>
    <t>GUIA DE IMPLEMENTACION RESSO-CODELCO</t>
  </si>
  <si>
    <t>SSO MA DAND/Politicas/2 y 3.- RESSO -RESEC</t>
  </si>
  <si>
    <t>Lista Verificación RESSO V7</t>
  </si>
  <si>
    <t>NI RESSO V8 DSEG-002-2023</t>
  </si>
  <si>
    <t>NOTA INTERNA GSSO-DSEG-002-2023</t>
  </si>
  <si>
    <t>Presentación Actualización RESSO v8</t>
  </si>
  <si>
    <t>ACTUALIZACION RESSO (DIC 2022)</t>
  </si>
  <si>
    <t>SIGO-R-004 RESSO Oficial V8</t>
  </si>
  <si>
    <t>SSO MA DAND/Politicas/4.- Manual del SSGT y Proc estructurales</t>
  </si>
  <si>
    <t>Guia ECF- Formularios autoev</t>
  </si>
  <si>
    <t>GUIA ECF FORMULARIOS (MUCHOS)</t>
  </si>
  <si>
    <t>SSO MA DAND/Politicas/5.- Guia ECF- Formularios autoev</t>
  </si>
  <si>
    <t>Guias EST+Formularios</t>
  </si>
  <si>
    <t>GUIA EST+FORMULARIOS (MUCHOS)</t>
  </si>
  <si>
    <t>SSO MA DAND/Politicas/6.- Guias EST+Formularios</t>
  </si>
  <si>
    <t>Estandar de aprendizaje</t>
  </si>
  <si>
    <t>ESTANDAR DE APRENDIZAJE(MUCHOS)</t>
  </si>
  <si>
    <t>SSO MA DAND/Politicas/9.-Estandar de aprendizaje</t>
  </si>
  <si>
    <t>REGLAMENTO DIV EMERGENCIAS REV 005_DIC21</t>
  </si>
  <si>
    <t>PREPARACIÓN Y RESPUESTA ANTE EMERGENCIAS DIVISION ANDINA</t>
  </si>
  <si>
    <t>SSO MA DAND/Reglamentos especificos</t>
  </si>
  <si>
    <t>REGLAMENTO INTERNO DE TRANSPORTE Y CONDUCCION</t>
  </si>
  <si>
    <t>RES 460-2020 aprueba reglamento transito vehiculos y personas DAND 2020</t>
  </si>
  <si>
    <t>RESOLUCIÓN EXENTA N° 460/2020</t>
  </si>
  <si>
    <t>RESOLUCION</t>
  </si>
  <si>
    <t>LEGAL</t>
  </si>
  <si>
    <t>RES 461-2020 Aprueba Reglamento de Equipos de Apoyo Mina Rajo  DAND</t>
  </si>
  <si>
    <t>RESOLUCIÓN EXENTA N° 461/2020</t>
  </si>
  <si>
    <t>RES 462-2020 REGLAMENTO DE CARGUIO Y TRANSPORTE MINA RAJO DAND</t>
  </si>
  <si>
    <t>RESOLUCIÓN EXENTA N° 462/2020</t>
  </si>
  <si>
    <t>SIGO-P-GP-903 PROCEDIMIENTOS GENERAL DE EMERGENCIAS</t>
  </si>
  <si>
    <t>PROCEDIMEINTO DE RESPUESTAS A EMERGENCIAS GERENCIA PLANTAS</t>
  </si>
  <si>
    <t>SIGO-P-MR-900 PROCEDIMIENTO DE EMERGENCIAS MINA RAJO</t>
  </si>
  <si>
    <t>PROCEDIMIENTO DE EMERGENCIAS MINA RAJO ABIERTO</t>
  </si>
  <si>
    <t>SIGO-P-RT 109 PROCEDIMIENTO DE RESPUESTAS ANTE EMERGENCIAS PROCESO SRTC</t>
  </si>
  <si>
    <t>SIGO-R-001 Reglamento Eléctrico Corporativo (RE) rev 001</t>
  </si>
  <si>
    <t>SIGO-R-002 REGLAMENTO CORPORATIVO PRODUCTOS QUIMICOS</t>
  </si>
  <si>
    <t>REGLAMENTO SIGO CODELCO - REQUISITOS Y ESTANDARES DE PRODUCTOS QUIMICOS EN FAENAS Y PROYECTOS DE CODELCO</t>
  </si>
  <si>
    <t>SIGO-R-GE-003 REGLAMENTO BLOQUEO DE FUENTES DE ENERGIA GERENCIA DE PLANTAS</t>
  </si>
  <si>
    <t>BLOQUEO DE FUENTES DE ENERGÍAS GERENCIA DE PLANTAS</t>
  </si>
  <si>
    <t>SIGO-R-GE-004 PREPARACION Y RESPUESTA ANTE EMERGENCIA EN DAND</t>
  </si>
  <si>
    <t>PREPARACIÓN Y RESPUESTA ANTE EMERGENCIAS EN DIVISION ANDINA</t>
  </si>
  <si>
    <t>SIGO-R-GE-004 REGLAMENTO DIVISIONAL DE EMERGENCIAS REV 004  Noviembre 2019 Final 1</t>
  </si>
  <si>
    <t>SIGO-R-GE-005 Reglamento de Riesgos Naturales 2022 VF</t>
  </si>
  <si>
    <t>REGLAMENTO RIESGOS NATURALES</t>
  </si>
  <si>
    <t>SIGO-R-MF-100 REGLAMENTO DE AISLACION Y BLOQUEO SUPERINTENDENCIA MANEJO DE FLUIDOS</t>
  </si>
  <si>
    <t>SIGO-R-MR- 300 REGLAMENTO DE EQUIPOS DE APOYO MR</t>
  </si>
  <si>
    <t>REGLAMENTO EQUIPO DE APOYO MINA RAJO</t>
  </si>
  <si>
    <t>SIGO-R-MR-200 REGLAMENTO DE CARGUIO Y TRANSPORTE Rev03</t>
  </si>
  <si>
    <t>REGLAMENTO CARGUIO Y TRANSPORTE MINA RAJO</t>
  </si>
  <si>
    <t>SIGO-R-MR-300 REGLAMENTO DE EQUIPOS DE APOYO MR Rev03</t>
  </si>
  <si>
    <t>SIGO-R-MR-401 REGLAMENTO DE TRANSITO DE VEHICULOS Y PERSONAS MR Rev3</t>
  </si>
  <si>
    <t>REGLAMENTO TRÁNSITO DE VEHICULOS Y PERSONAS EN MINA RAJO</t>
  </si>
  <si>
    <t>SIGO-R-MS-001 REGLAMENTO TRÁNSITO Y OPERACIÓN DE VEHÍCULOS Y EQUIPOS EN INTERIOR MINA SUBTERRANEA</t>
  </si>
  <si>
    <t>SIGO-R-OS -801 REGLAMENTO CONTROL DE INGRESO DE PERSONAS Y VEHÍCULOS A MS</t>
  </si>
  <si>
    <t>REGLAMENTO CONTROL DE INGRESO DE PERSONA Y VEHÍCULOS A MINA SUBTERRANEA</t>
  </si>
  <si>
    <t>SIGO-R-SMS-003 REGLAMENTO EMERGENCIA EN MINA SUBTERRANEA rev 04</t>
  </si>
  <si>
    <t>REGLAMENTO EMERGENCIA EN MINA SUBTERRANEA</t>
  </si>
  <si>
    <t>03.- 19-02-24</t>
  </si>
  <si>
    <t>Fwd_ Confirmación  Reunión Informativa _ Doc1002164805 _  MONTAJE ESPESADOR DE CABEZA PMFC -DAND</t>
  </si>
  <si>
    <t>CORREO RESPALDO - FWD_ CONFIRMACIÓN  REUNIÓN INFORMATIVA _ DOC1002164805 _  MONTAJE ESPESADOR DE CABEZA PMFC -DAND</t>
  </si>
  <si>
    <t>RV_ Confirmación  Reunión Informativa _ Doc1002164805 _  MONTAJE ESPESADOR DE CABEZA PMFC -DAND</t>
  </si>
  <si>
    <t>CORREO RESPALDO - RV_ CONFIRMACIÓN  REUNIÓN INFORMATIVA _ DOC1002164805 _  MONTAJE ESPESADOR DE CABEZA PMFC -DAND</t>
  </si>
  <si>
    <t>04.- 21-02-24</t>
  </si>
  <si>
    <t>RV Recordatorio Reunión Explicativa</t>
  </si>
  <si>
    <t>CORREO RESPALDO - RV RECORDATORIO REUNIÓN EXPLICATIVA</t>
  </si>
  <si>
    <t>05.- 22-02-24</t>
  </si>
  <si>
    <t>RV PPT Reunión Explicativa  Doc1002164805  MONTAJE ESPESADOR DE CABEZA PMFC -DAND</t>
  </si>
  <si>
    <t>CORREO RESPALDO - RV PPT REUNIÓN EXPLICATIVA  DOC1002164805  MONTAJE ESPESADOR DE CABEZA PMFC -DAND</t>
  </si>
  <si>
    <t>Reunión Explicativa Espesador</t>
  </si>
  <si>
    <t>REUNION EXPLICATIVA "MONTAJE ESPESADOR DE CABEZA, PMFC"</t>
  </si>
  <si>
    <t>06.- 23-02-24</t>
  </si>
  <si>
    <t>RV Documenos faltantes  Doc1002164805  MONTAJE ESPESADOR DE CABEZA PMFC -DAND</t>
  </si>
  <si>
    <t>CORREO RESPALDO - RV DOCUMENOS FALTANTES  DOC1002164805  MONTAJE ESPESADOR DE CABEZA PMFC -DAND</t>
  </si>
  <si>
    <t>4600022667-001-03350-000CA-00001_(Rev. B)_(v1.0_CURRENT)_(Main Content)</t>
  </si>
  <si>
    <t>4600022667-001-03350-000CA-00001</t>
  </si>
  <si>
    <t>DETALLES SOPORTES</t>
  </si>
  <si>
    <t>4600022667-001-03350-000CA-00002_(Rev. B)_(v1.0_CURRENT)_(Main Content)</t>
  </si>
  <si>
    <t>4600022667-001-03350-000CA-00002</t>
  </si>
  <si>
    <t>LINEAS COLAS PRIMERA LIMPIEZA SECCIONES</t>
  </si>
  <si>
    <t>4600022667-001-03350-000CA-00003_(Rev. B)_(v1.0_CURRENT)_(Main Content)</t>
  </si>
  <si>
    <t>4600022667-001-03350-000CA-00003</t>
  </si>
  <si>
    <t>LÍNEAS DE CONCENTRADO CU-MO - DISPOSICIÓN GENERAL SECCIONES Y DETALLES (3 DE 3)</t>
  </si>
  <si>
    <t>4600022667-001-03350-100CA-00001_(Rev. B)_(v1.0_CURRENT)_(Main Content)</t>
  </si>
  <si>
    <t>4600022667-001-03350-100CA-00001</t>
  </si>
  <si>
    <t>KEY PLAN PLANTA</t>
  </si>
  <si>
    <t>4600022667-001-03350-100CA-00002_(Rev. B)_(v1.0_CURRENT)_(Main Content)</t>
  </si>
  <si>
    <t>4600022667-001-03350-100CA-00002</t>
  </si>
  <si>
    <t>DISPOSICION GENERAL (1 DE 2) PLANTA</t>
  </si>
  <si>
    <t>4600022667-001-03350-100CA-00003_(Rev. B)_(v1.0_CURRENT)_(Main Content)</t>
  </si>
  <si>
    <t>4600022667-001-03350-100CA-00003</t>
  </si>
  <si>
    <t>DISPOSICION GENERAL (2 DE 2) PLANTA</t>
  </si>
  <si>
    <t>4600022667-001-03350-102CA-00001_(Rev. B)_(v2.0_CURRENT)_(Main Content)</t>
  </si>
  <si>
    <t>4600022667-001-03350-102CA-00001</t>
  </si>
  <si>
    <t>AIRE DE INSTRUMENTACIÓN - DISPOSICIÓN GENERAL PLANTA</t>
  </si>
  <si>
    <t>4600022667-001-03350-102CA-00002_(Rev. B)_(v2.0_CURRENT)_(Main Content)</t>
  </si>
  <si>
    <t>4600022667-001-03350-102CA-00002</t>
  </si>
  <si>
    <t>AIRE DE INSTRUMENTACIÓN - DISPOSICIÓN GENERAL SECCIONES</t>
  </si>
  <si>
    <t>4600022667-001-03350-102CA-00003_(Rev. B)_(v2.0_CURRENT)_(Main Content)</t>
  </si>
  <si>
    <t>4600022667-001-03350-102CA-00003</t>
  </si>
  <si>
    <t>AGUA DE SELLO - DISPOSICIÓN GENERAL PLANTA</t>
  </si>
  <si>
    <t>4600022667-001-03350-102CA-00004_(Rev. B)_(v2.0_CURRENT)_(Main Content)</t>
  </si>
  <si>
    <t>4600022667-001-03350-102CA-00004</t>
  </si>
  <si>
    <t>AGUA DE SELLO - DISPOSICIÓN GENERAL SECCIONES Y DETALLES</t>
  </si>
  <si>
    <t>4600022667-001-03350-102CA-00005_(Rev. B)_(v2.0_CURRENT)_(Main Content)</t>
  </si>
  <si>
    <t>4600022667-001-03350-102CA-00005</t>
  </si>
  <si>
    <t>AGUA DE PROCESO - DISPOSICIÓN GENERAL PLANTA</t>
  </si>
  <si>
    <t>4600022667-001-03350-102CA-00007_(Rev. B)_(v2.0_CURRENT)_(Main Content)</t>
  </si>
  <si>
    <t>4600022667-001-03350-102CA-00007</t>
  </si>
  <si>
    <t>AGUA RECUPERADA - DISPOSICIÓN GENERAL PLANTA</t>
  </si>
  <si>
    <t>4600022667-001-03350-102CA-00010_(Rev. B)_(v2.0_CURRENT)_(Main Content)</t>
  </si>
  <si>
    <t>4600022667-001-03350-102CA-00010</t>
  </si>
  <si>
    <t>CONCENTRADO CU-MO - DISPOSICIÓN GENERAL (2 DE 2) PLANTA</t>
  </si>
  <si>
    <t>4600022667-001-03350-INFCB-00001_(Rev. 0)_(v2.0_CURRENT)_(Main Content)</t>
  </si>
  <si>
    <t>4600022667-001-03350-INFCB-00001</t>
  </si>
  <si>
    <t>INFORME DE PAQUETIZACIÓN AWP</t>
  </si>
  <si>
    <t>CB_01</t>
  </si>
  <si>
    <t>4600022667-001-03350-100CI-00001_(Rev. 3)_(v6.0_CURRENT)_(Main Content)</t>
  </si>
  <si>
    <t>4600022667-001-03350-100CI-00001</t>
  </si>
  <si>
    <t>DISPOSICIÓN GENERAL PLANTA- INFRAESTRUCTURA NO CRITICA UBICACIÓN DEFINITIVA</t>
  </si>
  <si>
    <t>CIVIL</t>
  </si>
  <si>
    <t>CI_01</t>
  </si>
  <si>
    <t>4600022667-001-03350-100CI-00004_(Rev. 1)_(v4.0_CURRENT)_(Main Content)</t>
  </si>
  <si>
    <t>4600022667-001-03350-100CI-00004</t>
  </si>
  <si>
    <t>DISPOSICIÓN GENERAL PLANTA- INFRAESTRUCTURA NO CRITICA UBICACIÓN TRANSITORIA</t>
  </si>
  <si>
    <t>4600022667-001-03350-202CI-00001_(Rev. 1)_(v4.0_CURRENT)_(Main Content)</t>
  </si>
  <si>
    <t>4600022667-001-03350-202CI-00001</t>
  </si>
  <si>
    <t>CAMINOS Y PLATAFORMAS DISPOSICIÓN GENERAL</t>
  </si>
  <si>
    <t>4600022667-001-03350-202CI-00002_(Rev. 2)_(v5.0_CURRENT)_(Main Content)</t>
  </si>
  <si>
    <t>4600022667-001-03350-202CI-00002</t>
  </si>
  <si>
    <t>CAMINO ACCESO A ESPESADOR EJE 1 PLANTA, PERFIL Y SECCIONES</t>
  </si>
  <si>
    <t>4600022667-001-03350-202CI-00003_(Rev. 2)_(v5.0_CURRENT)_(Main Content)</t>
  </si>
  <si>
    <t>4600022667-001-03350-202CI-00003</t>
  </si>
  <si>
    <t>EJES 1A Y 1B PERFIL Y SECCIONES</t>
  </si>
  <si>
    <t>4600022667-001-03350-202CI-00004_(Rev. 2)_(v5.0_CURRENT)_(Main Content)</t>
  </si>
  <si>
    <t>4600022667-001-03350-202CI-00004</t>
  </si>
  <si>
    <t>CAMINO BY-PASS CAMIONETAS - EJES 2 Y 2A PLANTA - PERFILES Y SECCIONES</t>
  </si>
  <si>
    <t>4600022667-001-03350-202CI-00005_(Rev. 2)_(v5.0_CURRENT)_(Main Content)</t>
  </si>
  <si>
    <t>4600022667-001-03350-202CI-00005</t>
  </si>
  <si>
    <t>CAMINO SUPERIOR - EJES 3, 1A Y 1B PLANTA - PERFIL Y SECCIONES</t>
  </si>
  <si>
    <t>4600022667-001-03350-202CI-00006_(Rev. 2)_(v5.0_CURRENT)_(Main Content)</t>
  </si>
  <si>
    <t>4600022667-001-03350-202CI-00006</t>
  </si>
  <si>
    <t>SALA ELÉCTRICA Y ESPESADOR PLANTA Y SECCIONES</t>
  </si>
  <si>
    <t>4600022667-001-03350-202CI-00007_(Rev. 2)_(v5.0_CURRENT)_(Main Content)</t>
  </si>
  <si>
    <t>4600022667-001-03350-202CI-00007</t>
  </si>
  <si>
    <t>DISPOSICIÓN GENERAL PLANTA Y SECCIONES</t>
  </si>
  <si>
    <t>4600022667-001-03350-202CI-00009_(Rev. 1)_(v3.0_CURRENT)_(Main Content)</t>
  </si>
  <si>
    <t>4600022667-001-03350-202CI-00009</t>
  </si>
  <si>
    <t>DISPOSICIÓN GENERAL PLANTA INSTALACIÓN DE FAENAS</t>
  </si>
  <si>
    <t>4600022667-001-03350-600CI-00001_(Rev. 0)_(v3.0_CURRENT)_(Main Content)</t>
  </si>
  <si>
    <t>4600022667-001-03350-600CI-00001</t>
  </si>
  <si>
    <t>PLANO EVACUACIÓN DE AGUAS LLUVIAS PLANTA, SECCIONES Y DETALLES</t>
  </si>
  <si>
    <t>4600022667-001-03350-600CI-00004_(Rev. B)_(v2.0_CURRENT)_(Main Content)</t>
  </si>
  <si>
    <t>4600022667-001-03350-600CI-00004</t>
  </si>
  <si>
    <t>DISPOSICIÓN GENERAL PLANTA Y SECCIONES OBRAS PREVIAS UBICACIÓN DEFINITIVA</t>
  </si>
  <si>
    <t>4600022667-001-03350-600CI-00006_(Rev. 1)_(v3.0_CURRENT)_(Main Content)</t>
  </si>
  <si>
    <t>4600022667-001-03350-600CI-00006</t>
  </si>
  <si>
    <t>DISPOSICIÓN GENERAL PLANTA INFRAESTRUCTURA NO CRITICA UBICACIÓN DEFINITIVA</t>
  </si>
  <si>
    <t>4600022667-001-03350-INFCI-00001_(Rev. 1)_(v3.0_CURRENT)_(Main Content)</t>
  </si>
  <si>
    <t>4600022667-001-03350-INFCI-00001</t>
  </si>
  <si>
    <t>INFORME CONSOLIDADO MECÁNICA DE SUELOS</t>
  </si>
  <si>
    <t>4600022667-001-03350-MDCCI-00001_(Rev. 1)_(v3.0_CURRENT)_(Main Content)</t>
  </si>
  <si>
    <t>4600022667-001-03350-MDCCI-00001</t>
  </si>
  <si>
    <t>INFORME DE CUBICACIONES CIVIL</t>
  </si>
  <si>
    <t>4600022667-001-03350-MDCCI-00002_(Rev. 0)_(v2.0_CURRENT)_(Main Content)</t>
  </si>
  <si>
    <t>4600022667-001-03350-MDCCI-00002</t>
  </si>
  <si>
    <t>MEMORIA DE CÁLCULO EVACUACIÓN DE AGUAS LLUVIAS</t>
  </si>
  <si>
    <t>4600022667-001-03350-002EL-00005_(Rev. 0)_(v3.0_CURRENT)_(Main Content)</t>
  </si>
  <si>
    <t>4600022667-001-03350-002EL-00005</t>
  </si>
  <si>
    <t>PLANO DETALLES DE MONTAJE PUESTA A TIERRA</t>
  </si>
  <si>
    <t>ELECTRICO</t>
  </si>
  <si>
    <t>EL_01</t>
  </si>
  <si>
    <t>4600022667-001-03350-002EL-00006_(Rev. B)_(v2.0_CURRENT)_(Main Content)</t>
  </si>
  <si>
    <t>4600022667-001-03350-002EL-00006</t>
  </si>
  <si>
    <t>PLANO DETALLES DE MONTAJE CANALIZACIONES</t>
  </si>
  <si>
    <t>4600022667-001-03350-002EL-00007_(Rev. B)_(v2.0_CURRENT)_(Main Content)</t>
  </si>
  <si>
    <t>4600022667-001-03350-002EL-00007</t>
  </si>
  <si>
    <t>PLANO DETALLES DE MONTAJE ALUMBRADO</t>
  </si>
  <si>
    <t>4600022667-001-03350-100EL-00005_(Rev. B)_(v2.0_CURRENT)_(Main Content)</t>
  </si>
  <si>
    <t>4600022667-001-03350-100EL-00005</t>
  </si>
  <si>
    <t>PLANO DISPOSICIÓN EQUIPOS ELÉCTRICOS PLANTA ESPESADOR</t>
  </si>
  <si>
    <t>4600022667-001-03350-100EL-00006_(Rev. B)_(v2.0_CURRENT)_(Main Content)</t>
  </si>
  <si>
    <t>4600022667-001-03350-100EL-00006</t>
  </si>
  <si>
    <t>PLANO DISPOSICIÓN EQUIPOS ELÉCTRICOS PUENTE ESPESADOR</t>
  </si>
  <si>
    <t>4600022667-001-03350-100EL-00007_(Rev. B)_(v2.0_CURRENT)_(Main Content)</t>
  </si>
  <si>
    <t>4600022667-001-03350-100EL-00007</t>
  </si>
  <si>
    <t>PLANO DISPOSICIÓN EQUIPOS ELÉCTRICOS ESTRUCTURA</t>
  </si>
  <si>
    <t>4600022667-001-03350-110EL-00001_(Rev. 0)_(v2.0_CURRENT)_(Main Content)</t>
  </si>
  <si>
    <t>4600022667-001-03350-110EL-00001</t>
  </si>
  <si>
    <t>DISPOSICIÓN DE EQUIPOS ELÉCTRICOS SALA ELÉCTRICA 03350-SEL-001</t>
  </si>
  <si>
    <t>4600022667-001-03350-202EL-00001_(Rev. 2)_(v4.0_CURRENT)_(Main Content)</t>
  </si>
  <si>
    <t>4600022667-001-03350-202EL-00001</t>
  </si>
  <si>
    <t>UNILINEAL CCM BAJA TENSIÓN 03350-CCM-001</t>
  </si>
  <si>
    <t>4600022667-001-03350-202EL-00005_(Rev. 0)_(v3.0_CURRENT)_(Main Content)</t>
  </si>
  <si>
    <t>4600022667-001-03350-202EL-00005</t>
  </si>
  <si>
    <t>DIAGRAMA UNILINEAL TABLERO DE FUERZA Y ALUMBRADO</t>
  </si>
  <si>
    <t>4600022667-001-03350-202EL-00006_(Rev. 0)_(v3.0_CURRENT)_(Main Content)</t>
  </si>
  <si>
    <t>4600022667-001-03350-202EL-00006</t>
  </si>
  <si>
    <t>4600022667-001-03350-205EL-00001_(Rev. B)_(v2.0_CURRENT)_(Main Content)</t>
  </si>
  <si>
    <t>4600022667-001-03350-205EL-00001</t>
  </si>
  <si>
    <t>PLANO CANALIZACIÓN (DESDE GEN A CCM) PLANTA</t>
  </si>
  <si>
    <t>4600022667-001-03350-205EL-00002_(Rev. B)_(v2.0_CURRENT)_(Main Content)</t>
  </si>
  <si>
    <t>4600022667-001-03350-205EL-00002</t>
  </si>
  <si>
    <t>PLANO CANALIZACIÓN SALA ELÉCTRICA</t>
  </si>
  <si>
    <t>4600022667-001-03350-205EL-00003_(Rev. B)_(v2.0_CURRENT)_(Main Content)</t>
  </si>
  <si>
    <t>4600022667-001-03350-205EL-00003</t>
  </si>
  <si>
    <t>PLANO CANALIZACIÓN PLANTA ESPESADOR</t>
  </si>
  <si>
    <t>4600022667-001-03350-205EL-00004_(Rev. B)_(v1.0_CURRENT)_(Main Content)</t>
  </si>
  <si>
    <t>4600022667-001-03350-205EL-00004</t>
  </si>
  <si>
    <t>PLANO DETALLES DE MONTAJE CAMARAS Y DUCTOS</t>
  </si>
  <si>
    <t>4600022667-001-03350-206EL-00002_(Rev. B)_(v1.0_CURRENT)_(Main Content)</t>
  </si>
  <si>
    <t>4600022667-001-03350-206EL-00002</t>
  </si>
  <si>
    <t>PLANO PUESTA A TIERRA PLANTA ESPESADOR</t>
  </si>
  <si>
    <t>4600022667-001-03350-208EL-00001_(Rev. 0)_(v3.0_CURRENT)_(Main Content)</t>
  </si>
  <si>
    <t>4600022667-001-03350-208EL-00001</t>
  </si>
  <si>
    <t>PLANO DE CANALIZACIÓN ELÉCTRICA ALIMENTACIÓN TRANSFERENCIA DE RESIDUOS (DEFINITIVA)</t>
  </si>
  <si>
    <t>4600022667-001-03350-208EL-00004_(Rev. 0)_(v3.0_CURRENT)_(Main Content)</t>
  </si>
  <si>
    <t>4600022667-001-03350-208EL-00004</t>
  </si>
  <si>
    <t>PLANO DE CANALIZACIÓN ELÉCTRICA ALIMENTACIÓN CASA DE CAMBIO</t>
  </si>
  <si>
    <t>4600022667-001-03350-208EL-00007_(Rev. 0)_(v3.0_CURRENT)_(Main Content)</t>
  </si>
  <si>
    <t>4600022667-001-03350-208EL-00007</t>
  </si>
  <si>
    <t>PLANO DE CANALIZACIÓN ELÉCTRICA ALIMENTACIÓN BODEGA INDUSTRIAL</t>
  </si>
  <si>
    <t>4600022667-001-03350-208EL-00013_(Rev. 0)_(v3.0_CURRENT)_(Main Content)</t>
  </si>
  <si>
    <t>4600022667-001-03350-208EL-00013</t>
  </si>
  <si>
    <t>PLANO DE CANALIZACIÓN ELÉCTRICA ALIMENTACIÓN TRANSFERENCIA DE RESIDUOS (TRANSITORIA)</t>
  </si>
  <si>
    <t>4600022667-001-03350-208EL-00016_(Rev. 1)_(v4.0_CURRENT)_(Main Content)</t>
  </si>
  <si>
    <t>4600022667-001-03350-208EL-00016</t>
  </si>
  <si>
    <t>DIAGRAMA DE CONEXIONADO MOTOR BOMBA CENTRÍFUGA DESCARGA N°1 03351-BOC-001M</t>
  </si>
  <si>
    <t>4600022667-001-03350-208EL-00017_(Rev. 1)_(v4.0_CURRENT)_(Main Content)</t>
  </si>
  <si>
    <t>4600022667-001-03350-208EL-00017</t>
  </si>
  <si>
    <t>DIAGRAMA DE CONEXIONADO MOTOR BOMBA CENTRÍFUGA DESCARGA N°2 03351-BOC-002M</t>
  </si>
  <si>
    <t>4600022667-001-03350-208EL-00018_(Rev. 1)_(v4.0_CURRENT)_(Main Content)</t>
  </si>
  <si>
    <t>4600022667-001-03350-208EL-00018</t>
  </si>
  <si>
    <t>DIAGRAMA DE CONEXIONADO MOTOR BOMBA CENTRÍFUGA DESCARGA N°3 03351-BOC-003M</t>
  </si>
  <si>
    <t>4600022667-001-03350-208EL-00019_(Rev. 1)_(v4.0_CURRENT)_(Main Content)</t>
  </si>
  <si>
    <t>4600022667-001-03350-208EL-00019</t>
  </si>
  <si>
    <t>DIAGRAMA DE CONEXIONADO MOTOR BOMBA VERTICAL SUMIDERO 03351-BVT-001M</t>
  </si>
  <si>
    <t>4600022667-001-03350-208EL-00020_(Rev. 1)_(v4.0_CURRENT)_(Main Content)</t>
  </si>
  <si>
    <t>4600022667-001-03350-208EL-00020</t>
  </si>
  <si>
    <t>DIAGRAMA DE CONEXIONADO MOTOR BOMBA CENTRIFUGA AGUA SELLO 03351-BOC-004M</t>
  </si>
  <si>
    <t>4600022667-001-03350-208EL-00021_(Rev. 1)_(v4.0_CURRENT)_(Main Content)</t>
  </si>
  <si>
    <t>4600022667-001-03350-208EL-00021</t>
  </si>
  <si>
    <t>DIAGRAMA DE CONEXIONADO MOTOR BOMBA CENTRIFUGA AGUA SELLO 03351-BOC-005M</t>
  </si>
  <si>
    <t>4600022667-001-03350-210EL-00002_(Rev. 1)_(v3.0_CURRENT)_(Main Content)</t>
  </si>
  <si>
    <t>4600022667-001-03350-210EL-00002</t>
  </si>
  <si>
    <t>DIAGRAMA ELEMENTAL DE CONTROL MOTOR BOMBA CENTRÍFUGA DESCARGA N°1 03351-BOC-001M</t>
  </si>
  <si>
    <t>4600022667-001-03350-210EL-00003_(Rev. 1)_(v3.0_CURRENT)_(Main Content)</t>
  </si>
  <si>
    <t>4600022667-001-03350-210EL-00003</t>
  </si>
  <si>
    <t>DIAGRAMA ELEMENTAL DE CONTROL MOTOR BOMBA CENTRÍFUGA DESCARGA N°2 03351-BOC-002M</t>
  </si>
  <si>
    <t>4600022667-001-03350-210EL-00004_(Rev. 1)_(v3.0_CURRENT)_(Main Content)</t>
  </si>
  <si>
    <t>4600022667-001-03350-210EL-00004</t>
  </si>
  <si>
    <t>DIAGRAMA ELEMENTAL DE CONTROL MOTOR BOMBA CENTRÍFUGA DESCARGA N°3 03351-BOC-003M</t>
  </si>
  <si>
    <t>4600022667-001-03350-210EL-00005_(Rev. 1)_(v3.0_CURRENT)_(Main Content)</t>
  </si>
  <si>
    <t>4600022667-001-03350-210EL-00005</t>
  </si>
  <si>
    <t>DIAGRAMA ELEMENTAL DE CONTROL MOTOR BOMBA VERTICAL SUMIDERO 03351-BVT-001M</t>
  </si>
  <si>
    <t>4600022667-001-03350-210EL-00006_(Rev. 1)_(v3.0_CURRENT)_(Main Content)</t>
  </si>
  <si>
    <t>4600022667-001-03350-210EL-00006</t>
  </si>
  <si>
    <t>DIAGRAMA ELEMENTAL DE CONTROL MOTOR BOMBA CENTRIFUGA AGUA SELLO 03351-BOC-004M</t>
  </si>
  <si>
    <t>4600022667-001-03350-210EL-00007_(Rev. 1)_(v3.0_CURRENT)_(Main Content)</t>
  </si>
  <si>
    <t>4600022667-001-03350-210EL-00007</t>
  </si>
  <si>
    <t>DIAGRAMA ELEMENTAL DE CONTROL MOTOR BOMBA CENTRIFUGA AGUA SELLO 03351-BOC-005M</t>
  </si>
  <si>
    <t>4600022667-001-03350-212EL-00001_(Rev. B)_(v2.0_CURRENT)_(Main Content)</t>
  </si>
  <si>
    <t>4600022667-001-03350-212EL-00001</t>
  </si>
  <si>
    <t>PLANO DISPOSICIÓN Y CANALIZACIÓN DE ALUMBRADO ESPESADOR</t>
  </si>
  <si>
    <t>4600022667-001-03350-212EL-00002_(Rev. B)_(v2.0_CURRENT)_(Main Content)</t>
  </si>
  <si>
    <t>4600022667-001-03350-212EL-00002</t>
  </si>
  <si>
    <t>PLANO DISPOSICIÓN Y CANALIZACIÓN DE ALUMBRADO PUENTE ESPESADOR</t>
  </si>
  <si>
    <t>4600022667-001-03350-212EL-00003_(Rev. B)_(v2.0_CURRENT)_(Main Content)</t>
  </si>
  <si>
    <t>4600022667-001-03350-212EL-00003</t>
  </si>
  <si>
    <t>PLANO DISPOSICIÓN Y CANALIZACIÓN DE ALUMBRADO ESTRUCTURA 03350-EDF-001</t>
  </si>
  <si>
    <t>4600022667-001-03350-212EL-00007_(Rev. 0)_(v3.0_CURRENT)_(Main Content)</t>
  </si>
  <si>
    <t>4600022667-001-03350-212EL-00007</t>
  </si>
  <si>
    <t>PLANO ALUMBRADO DE ACCESO DISPOSICIÓN LUMINARIAS BODEGA DE ALMACENAMIENTO INDUSTRIAL</t>
  </si>
  <si>
    <t>4600022667-001-03350-212EL-00008_(Rev. 0)_(v3.0_CURRENT)_(Main Content)</t>
  </si>
  <si>
    <t>4600022667-001-03350-212EL-00008</t>
  </si>
  <si>
    <t>PLANO ALUMBRADO DE ACCESO DISPOSICIÓN LUMINARIAS CASA DE CAMBIO</t>
  </si>
  <si>
    <t>4600022667-001-03350-212EL-00011_(Rev. 0)_(v3.0_CURRENT)_(Main Content)</t>
  </si>
  <si>
    <t>4600022667-001-03350-212EL-00011</t>
  </si>
  <si>
    <t>PLANO ALUMBRADO DE ACCESO DISPOSICIÓN LUMINARIAS ESTACIÓN DE TRANSFERENCIA DE RESIDUOS</t>
  </si>
  <si>
    <t>4600022667-001-03350-CRDEL-00001_(Rev. 0)_(v2.0_CURRENT)_(Main Content)</t>
  </si>
  <si>
    <t>4600022667-001-03350-CRDEL-00001</t>
  </si>
  <si>
    <t>ADENDA CRITERIO DE DISEÑO ELECTRICIDAD</t>
  </si>
  <si>
    <t>4600022667-001-03350-CUBEL-00001_(Rev. 0)_(v2.0_CURRENT)_(Main Content)</t>
  </si>
  <si>
    <t>4600022667-001-03350-CUBEL-00001</t>
  </si>
  <si>
    <t>CUBICACIÓN MATERIALES ELÉCTRICOS</t>
  </si>
  <si>
    <t>4600022667-001-03350-ESPEL-00002_(Rev. 0)_(v3.0_CURRENT)_(Main Content)</t>
  </si>
  <si>
    <t>4600022667-001-03350-ESPEL-00002</t>
  </si>
  <si>
    <t>ESPECIFICACIÓN TÉCNICA PARARRAYOS</t>
  </si>
  <si>
    <t>4600022667-001-03350-ESPEL-00003_(Rev. 0)_(v3.0_CURRENT)_(Main Content)</t>
  </si>
  <si>
    <t>4600022667-001-03350-ESPEL-00003</t>
  </si>
  <si>
    <t>ESPECIFICACIÓN TÉCNICA CABLES DE BAJA TENSIÓN</t>
  </si>
  <si>
    <t>4600022667-001-03350-ESPEL-00004_(Rev. 0)_(v3.0_CURRENT)_(Main Content)</t>
  </si>
  <si>
    <t>4600022667-001-03350-ESPEL-00004</t>
  </si>
  <si>
    <t>ESPECIFICACIÓN TÉCNICA SISTEMA DE ILUMINACIÓN</t>
  </si>
  <si>
    <t>4600022667-001-03350-ESPEL-00005_(Rev. 1)_(v4.0_CURRENT)_(Main Content)</t>
  </si>
  <si>
    <t>4600022667-001-03350-ESPEL-00005</t>
  </si>
  <si>
    <t>ESPECIFICACIÓN TÉCNICA CENTRO DE CONTROL DE MOTORES DE BAJA TENSIÓN</t>
  </si>
  <si>
    <t>4600022667-001-03350-ESPEL-00006_(Rev. 1)_(v3.0_CURRENT)_(Main Content)</t>
  </si>
  <si>
    <t>4600022667-001-03350-ESPEL-00006</t>
  </si>
  <si>
    <t>ESPECIFICACIÓN TÉCNICA VARIADOR DE FRECUENCIA DE BAJA TENSIÓN</t>
  </si>
  <si>
    <t>4600022667-001-03350-ESPEL-00007_(Rev. 1)_(v3.0_CURRENT)_(Main Content)</t>
  </si>
  <si>
    <t>4600022667-001-03350-ESPEL-00007</t>
  </si>
  <si>
    <t>ESPECIFICACIÓN TÉCNICA SALA ELÉCTRICA</t>
  </si>
  <si>
    <t>4600022667-001-03350-HDDEL-00001_(Rev. 2)_(v5.0_CURRENT)_(Main Content)</t>
  </si>
  <si>
    <t>4600022667-001-03350-HDDEL-00001</t>
  </si>
  <si>
    <t>HOJA DE DATOS CCM DE BAJA TENSIÓN</t>
  </si>
  <si>
    <t>4600022667-001-03350-HDDEL-00002_(Rev. 1)_(v4.0_CURRENT)_(Main Content)</t>
  </si>
  <si>
    <t>4600022667-001-03350-HDDEL-00002</t>
  </si>
  <si>
    <t>HOJA DE DATOS VDF DE BAJA TENSIÓN</t>
  </si>
  <si>
    <t>4600022667-001-03350-HDDEL-00003_(Rev. 0)_(v3.0_CURRENT)_(Main Content)</t>
  </si>
  <si>
    <t>4600022667-001-03350-HDDEL-00003</t>
  </si>
  <si>
    <t>HOJA DE DATOS TABLERO DE FUERZA Y ALUMBRADO</t>
  </si>
  <si>
    <t>O</t>
  </si>
  <si>
    <t>4600022667-001-03350-HDDEL-00004_(Rev. 1)_(v4.0_CURRENT)_(Main Content)</t>
  </si>
  <si>
    <t>4600022667-001-03350-HDDEL-00004</t>
  </si>
  <si>
    <t>HOJA DE DATOS SALA ELÉCTRICA</t>
  </si>
  <si>
    <t>4600022667-001-03350-HDDEL-00005_(Rev. 1)_(v3.0_CURRENT)_(Main Content)</t>
  </si>
  <si>
    <t>4600022667-001-03350-HDDEL-00005</t>
  </si>
  <si>
    <t>HOJA DE DATOS CABLES DE PODER DE BAJA TENSIÓN</t>
  </si>
  <si>
    <t>4600022667-001-03350-INFEL-00001_(Rev. 0)_(v2.0_CURRENT)_(Main Content)</t>
  </si>
  <si>
    <t>4600022667-001-03350-INFEL-00001</t>
  </si>
  <si>
    <t>INFORME IMPACTO ELÉCTRICO</t>
  </si>
  <si>
    <t>4600022667-001-03350-LSTEL-00001_(Rev. 0)_(v2.0_CURRENT)_(Main Content)</t>
  </si>
  <si>
    <t>4600022667-001-03350-LSTEL-00001</t>
  </si>
  <si>
    <t>LISTADO DE EQUIPOS ELÉCTRICOS</t>
  </si>
  <si>
    <t>4600022667-001-03350-LSTEL-00002_(Rev. 1)_(v3.0_CURRENT)_(Main Content)</t>
  </si>
  <si>
    <t>4600022667-001-03350-LSTEL-00002</t>
  </si>
  <si>
    <t>LISTADO DE CIRCUITOS ELÉCTRICOS</t>
  </si>
  <si>
    <t>4600022667-001-03350-MDCEL-00002_(Rev. 1 )_(v5.0_CURRENT)_(Main Content)</t>
  </si>
  <si>
    <t>4600022667-001-03350-MDCEL-00002</t>
  </si>
  <si>
    <t>MEMORIA DE CÁLCULO MALLA A TIERRA</t>
  </si>
  <si>
    <t>4600022667-001-03350-MDCEL-00004_(Rev. 0)_(v3.0_CURRENT)_(Main Content)</t>
  </si>
  <si>
    <t>4600022667-001-03350-MDCEL-00004</t>
  </si>
  <si>
    <t>MEMORIA DE CÁLCULO FLUJO DE POTENCIA</t>
  </si>
  <si>
    <t>4600022667-001-03350-MDCEL-00005_(Rev. 0)_(v3.0_CURRENT)_(Main Content)</t>
  </si>
  <si>
    <t>4600022667-001-03350-MDCEL-00005</t>
  </si>
  <si>
    <t>MEMORIA DE CÁLCULO CONDUCTORES ALIMENTADORES CASA DE CAMBIO</t>
  </si>
  <si>
    <t>4600022667-001-03350-MDCEL-00007_(Rev. 0)_(v3.0_CURRENT)_(Main Content)</t>
  </si>
  <si>
    <t>4600022667-001-03350-MDCEL-00007</t>
  </si>
  <si>
    <t>MEMORIA DE CÁLCULO CONDUCTORES ALIMENTADORES BODEGA DE ALMACENAMIENTO INDUSTRIAL</t>
  </si>
  <si>
    <t>4600022667-001-03350-MDCEL-00009_(Rev. 0)_(v3.0_CURRENT)_(Main Content)</t>
  </si>
  <si>
    <t>4600022667-001-03350-MDCEL-00009</t>
  </si>
  <si>
    <t>MEMORIA DE CÁLCULO CONDUCTORES ALIMENTADORES ESTACIÓN DE TRANSFERENCIA DE RESIDUOS INDUSTRIALES – UBICACIÓN DEFINITIVA</t>
  </si>
  <si>
    <t>4600022667-001-03350-MDCEL-00013_(Rev. 0)_(v3.0_CURRENT)_(Main Content)</t>
  </si>
  <si>
    <t>4600022667-001-03350-MDCEL-00013</t>
  </si>
  <si>
    <t>MEMORIA DE CÁLCULO CONDUCTORES ALIMENTADORES ESTACIÓN DE TRANSFERENCIA DE RESIDUOS INDUSTRIALES – UBICACIÓN TRANSITORIA</t>
  </si>
  <si>
    <t>4600022667-001-03350-MDCEL-00017_(Rev. 0)_(v3.0_CURRENT)_(Main Content)</t>
  </si>
  <si>
    <t>4600022667-001-03350-MDCEL-00017</t>
  </si>
  <si>
    <t>MEMORIA DE CÁLCULO CORRIENTES DE CORTOCIRCUITO</t>
  </si>
  <si>
    <t>4600022667-001-03350-MDCEL-00019_(Rev. 1)_(v4.0_CURRENT)_(Main Content)</t>
  </si>
  <si>
    <t>4600022667-001-03350-MDCEL-00019</t>
  </si>
  <si>
    <t>MEMORIA DE CÁLCULO CONDUCTORES EN BAJA TENSIÓN</t>
  </si>
  <si>
    <t>4600022667-001-03350-MDCEL-00020_(Rev. 0)_(v3.0_CURRENT)_(Main Content)</t>
  </si>
  <si>
    <t>4600022667-001-03350-MDCEL-00020</t>
  </si>
  <si>
    <t>MEMORIA DE CÁLCULO PARARRAYOS</t>
  </si>
  <si>
    <t>4600022667-001-03350-MDCEL-00023_(Rev. 0)_(v2.0_CURRENT)_(Main Content)</t>
  </si>
  <si>
    <t>4600022667-001-03350-MDCEL-00023</t>
  </si>
  <si>
    <t>MEMORIA DE CÁLCULO ARC FLASH</t>
  </si>
  <si>
    <t>4600022667-001-03350-MDCEL-00024_(Rev. 0)_(v2.0_CURRENT)_(Main Content)</t>
  </si>
  <si>
    <t>4600022667-001-03350-MDCEL-00024</t>
  </si>
  <si>
    <t>MEMORIA DE CÁLCULO ILUMINACIÓN</t>
  </si>
  <si>
    <t>4600022667-001-03350-202ES-00001_(Rev. B)_(v2.0_CURRENT)_(Main Content)</t>
  </si>
  <si>
    <t>4600022667-001-03350-202ES-00001</t>
  </si>
  <si>
    <t>FOSO DE DERRAMES, ACCESO Y CÁMARAS ELÉCTRICAS FORMAS - PLANTA (1/4)</t>
  </si>
  <si>
    <t>ESTRUCTURA</t>
  </si>
  <si>
    <t>ES_01</t>
  </si>
  <si>
    <t>4600022667-001-03350-202ES-00002_(Rev. B)_(v2.0_CURRENT)_(Main Content)</t>
  </si>
  <si>
    <t>4600022667-001-03350-202ES-00002</t>
  </si>
  <si>
    <t>FOSO DE DERRAMES, ACCESO Y CÁMARAS ELÉCTRICAS FORMAS - PLANTAS Y SECCIONES (2/4)</t>
  </si>
  <si>
    <t>4600022667-001-03350-202ES-00003_(Rev. B)_(v2.0_CURRENT)_(Main Content)</t>
  </si>
  <si>
    <t>4600022667-001-03350-202ES-00003</t>
  </si>
  <si>
    <t>FOSO DE DERRAMES, ACCESO Y CÁMARAS ELÉCTRICAS FORMAS - PLANTAS Y SECCIONES (3/4)</t>
  </si>
  <si>
    <t>4600022667-001-03350-202ES-00004_(Rev. B)_(v2.0_CURRENT)_(Main Content)</t>
  </si>
  <si>
    <t>4600022667-001-03350-202ES-00004</t>
  </si>
  <si>
    <t>FOSO DE DERRAMES, ACCESO Y CÁMARAS ELÉCTRICAS FORMAS - PLANTAS Y SECCIONES (4/4)</t>
  </si>
  <si>
    <t>4600022667-001-03350-202ES-00005_(Rev. 0)_(v3.0_CURRENT)_(Main Content)</t>
  </si>
  <si>
    <t>4600022667-001-03350-202ES-00005</t>
  </si>
  <si>
    <t>FUNDACIÓN ESPESADOR FORMAS - PLANTA (1/3)</t>
  </si>
  <si>
    <t>4600022667-001-03350-202ES-00006_(Rev. 0)_(v3.0_CURRENT)_(Main Content)</t>
  </si>
  <si>
    <t>4600022667-001-03350-202ES-00006</t>
  </si>
  <si>
    <t>FUNDACIÓN ESPESADOR FORMAS - PLANTAS Y SECCIONES (2/3)</t>
  </si>
  <si>
    <t>4600022667-001-03350-202ES-00007_(Rev. 0)_(v3.0_CURRENT)_(Main Content)</t>
  </si>
  <si>
    <t>4600022667-001-03350-202ES-00007</t>
  </si>
  <si>
    <t>FUNDACIÓN ESPESADOR FORMAS - PLANTAS Y SECCIONES (3/3)</t>
  </si>
  <si>
    <t>4600022667-001-03350-202ES-00008_(Rev. 0)_(v3.0_CURRENT)_(Main Content)</t>
  </si>
  <si>
    <t>4600022667-001-03350-202ES-00008</t>
  </si>
  <si>
    <t>FUNDACIÓN TORRE CAJÓN FORMAS - PLANTA, SECCIÓN Y DETALLE</t>
  </si>
  <si>
    <t>4600022667-001-03350-202ES-00009_(Rev. 0)_(v3.0_CURRENT)_(Main Content)</t>
  </si>
  <si>
    <t>4600022667-001-03350-202ES-00009</t>
  </si>
  <si>
    <t>FUNDACIÓN SALA ELÉCTRICA FORMAS - PLANTA, SECCIÓN Y DETALLE</t>
  </si>
  <si>
    <t>4600022667-001-03350-202ES-00011_(Rev. 0)_(v2.0_CURRENT)_(Main Content)</t>
  </si>
  <si>
    <t>4600022667-001-03350-202ES-00011</t>
  </si>
  <si>
    <t>DISEÑO LOSA BODEGA - FORMAS Y ARMADURAS</t>
  </si>
  <si>
    <t>4600022667-001-03350-202ES-00012_(Rev. 0)_(v2.0_CURRENT)_(Main Content)</t>
  </si>
  <si>
    <t>4600022667-001-03350-202ES-00012</t>
  </si>
  <si>
    <t>CASA DE CAMBIO SANEAMIENTO - MURO DE CONTENCIÓN - FORMAS Y ARMADURA</t>
  </si>
  <si>
    <t>4600022667-001-03350-202ES-00013_(Rev. B)_(v1.0_CURRENT)_(Main Content)</t>
  </si>
  <si>
    <t>4600022667-001-03350-202ES-00013</t>
  </si>
  <si>
    <t>FUNDACIONES MISCELÁNEAS PLANTA UBICACIÓN Y DETALLE FUNDACIONES</t>
  </si>
  <si>
    <t>4600022667-001-03350-205ES-00001_(Rev. 0)_(v3.0_CURRENT)_(Main Content)</t>
  </si>
  <si>
    <t>4600022667-001-03350-205ES-00001</t>
  </si>
  <si>
    <t>ESTRUCTURA PLATAFORMAS TORRE Y PIPE RACK PLANTA Y SECCIONES</t>
  </si>
  <si>
    <t>4600022667-001-03350-205ES-00002_(Rev. B)_(v2.0_CURRENT)_(Main Content)</t>
  </si>
  <si>
    <t>4600022667-001-03350-205ES-00002</t>
  </si>
  <si>
    <t>DISPOSICIÓN GENERAL ESTRUCTURAS FOSO PLANTA GENERAL</t>
  </si>
  <si>
    <t>4600022667-001-03350-205ES-00003_(Rev. 1)_(v4.0_CURRENT)_(Main Content)</t>
  </si>
  <si>
    <t>4600022667-001-03350-205ES-00003</t>
  </si>
  <si>
    <t>SOPORTE ESCALERILLAS ELECTRICAS ELÉCTRICAS PLANTA Y SECCIONES (1 / 3)</t>
  </si>
  <si>
    <t>4600022667-001-03350-205ES-00004_(Rev. B)_(v2.0_CURRENT)_(Main Content)</t>
  </si>
  <si>
    <t>4600022667-001-03350-205ES-00004</t>
  </si>
  <si>
    <t>SOPORTES ESCALERILLAS ELÉCTRICAS PLANTA Y SECCIONES (2 /3)</t>
  </si>
  <si>
    <t>4600022667-001-03350-205ES-00005_(Rev. 0)_(v2.0_CURRENT)_(Main Content)</t>
  </si>
  <si>
    <t>4600022667-001-03350-205ES-00005</t>
  </si>
  <si>
    <t>ESTRUCTURA TORRE CAJÓN DE TRASPASO EE.MM. - PLANTAS (1/3)</t>
  </si>
  <si>
    <t>4600022667-001-03350-205ES-00006_(Rev. 0)_(v2.0_CURRENT)_(Main Content)</t>
  </si>
  <si>
    <t>4600022667-001-03350-205ES-00006</t>
  </si>
  <si>
    <t>ESTRUCTURA TORRE CAJÓN DE TRASPASO EE.MM. - ELEVACIONES (2/3)</t>
  </si>
  <si>
    <t>4600022667-001-03350-205ES-00007_(Rev. 0)_(v2.0_CURRENT)_(Main Content)</t>
  </si>
  <si>
    <t>4600022667-001-03350-205ES-00007</t>
  </si>
  <si>
    <t>ESTRUCTURA TORRE CAJÓN DE TRASPASO EE.MM. - ELEVACIONES Y SECCIONES (3/3)</t>
  </si>
  <si>
    <t>4600022667-001-03350-205ES-00008_(Rev. 0)_(v3.0_CURRENT)_(Main Content)</t>
  </si>
  <si>
    <t>4600022667-001-03350-205ES-00008</t>
  </si>
  <si>
    <t>ESTRUCTURA ESTANQUE AGUA DE SELLO Y ESCALERA FOSO - PLANTAS Y ELEVACIONES</t>
  </si>
  <si>
    <t>4600022667-001-03350-205ES-00009_(Rev. 0)_(v3.0_CURRENT)_(Main Content)</t>
  </si>
  <si>
    <t>4600022667-001-03350-205ES-00009</t>
  </si>
  <si>
    <t>ESTRUCTURA MONORRIEL Y SOPORTES CAÑERÍAS PLANTAS Y ELEVACIONES</t>
  </si>
  <si>
    <t>4600022667-001-03350-205ES-00010_(Rev. 0)_(v2.0_CURRENT)_(Main Content)</t>
  </si>
  <si>
    <t>4600022667-001-03350-205ES-00010</t>
  </si>
  <si>
    <t>PLANOS SOPORTES LINEAS DE PIPING PLANTAS Y SECCIONES (1/1)</t>
  </si>
  <si>
    <t>4600022667-001-03350-205ES-00011_(Rev. B)_(v2.0_CURRENT)_(Main Content)</t>
  </si>
  <si>
    <t>4600022667-001-03350-205ES-00011</t>
  </si>
  <si>
    <t>ESTRUCTURAS SOPORTE PIPING Y VÁLVULAS PLANTAS Y SECCIONES (2/2)</t>
  </si>
  <si>
    <t>4600022667-001-03350-205ES-00012_(Rev. B)_(v2.0_CURRENT)_(Main Content)</t>
  </si>
  <si>
    <t>4600022667-001-03350-205ES-00012</t>
  </si>
  <si>
    <t>PLATAFORMAS ACCESO INSTRUMENTACIÓN PLANTA Y SECCIONES</t>
  </si>
  <si>
    <t>4600022667-001-03350-205ES-00013_(Rev. B)_(v2.0_CURRENT)_(Main Content)</t>
  </si>
  <si>
    <t>4600022667-001-03350-205ES-00013</t>
  </si>
  <si>
    <t>SOPORTES PIPING SECTOR CAMINO PLANTA Y ELEVACIONES</t>
  </si>
  <si>
    <t>4600022667-001-03350-205ES-00014_(Rev. B)_(v2.0_CURRENT)_(Main Content)</t>
  </si>
  <si>
    <t>4600022667-001-03350-205ES-00014</t>
  </si>
  <si>
    <t>SOPORTES ANEXOS ESCALERILLAS ELÉCTRICAS PLANTAS Y SECCIONES</t>
  </si>
  <si>
    <t>4600022667-001-03350-205ES-00015_(Rev. B)_(v2.0_CURRENT)_(Main Content)</t>
  </si>
  <si>
    <t>4600022667-001-03350-205ES-00015</t>
  </si>
  <si>
    <t>DETALLES SOPORTES PIPING SECUNDARIOS (1 DE 2) PLANTAS SECCIONES Y ELEVACIONES</t>
  </si>
  <si>
    <t>4600022667-001-03350-205ES-00016_(Rev. B)_(v2.0_CURRENT)_(Main Content)</t>
  </si>
  <si>
    <t>4600022667-001-03350-205ES-00016</t>
  </si>
  <si>
    <t>DETALLES SOPORTES PIPING SECUNDARIOS PLANTAS Y SECCIONES (2/2)</t>
  </si>
  <si>
    <t>4600022667-001-03350-205ES-00017_(Rev. B)_(v2.0_CURRENT)_(Main Content)</t>
  </si>
  <si>
    <t>4600022667-001-03350-205ES-00017</t>
  </si>
  <si>
    <t>SOPORTES ELÉCTRICOS EXTERIOR FOSO PLANTA UBICACIÓN Y DETALLE SOPORTES</t>
  </si>
  <si>
    <t>4600022667-001-03350-205ES-00023_(Rev. B)_(v2.0_CURRENT)_(Main Content)</t>
  </si>
  <si>
    <t>4600022667-001-03350-205ES-00023</t>
  </si>
  <si>
    <t>PLATAFORMA DESCARGA TECLE Y SOP. MURO EXIST. EE.MM. - PLANTAS Y SECCIONES</t>
  </si>
  <si>
    <t>4600022667-001-03350-205ES-00024_(Rev. 0)_(v2.0_CURRENT)_(Main Content)</t>
  </si>
  <si>
    <t>4600022667-001-03350-205ES-00024</t>
  </si>
  <si>
    <t>BARANDAS PERIMETRALES EN MURO FOSO PLANTA UBICACIÓN Y SECCIONES</t>
  </si>
  <si>
    <t>4600022667-001-03350-302ES-00001_(Rev. B)_(v2.0_CURRENT)_(Main Content)</t>
  </si>
  <si>
    <t>4600022667-001-03350-302ES-00001</t>
  </si>
  <si>
    <t>FOSO DE DERRAMES, ACCESO Y CÁMARAS ELÉCTRICAS ARMADURAS - PLANTA DISPOSICIÓN (1/5)</t>
  </si>
  <si>
    <t>4600022667-001-03350-302ES-00002_(Rev. B)_(v2.0_CURRENT)_(Main Content)</t>
  </si>
  <si>
    <t>4600022667-001-03350-302ES-00002</t>
  </si>
  <si>
    <t>FOSO DE DERRAMES, ACCESO Y CÁMARAS ELÉCTRICAS ARMADURAS - ELEVACIONES (2/5)</t>
  </si>
  <si>
    <t>4600022667-001-03350-302ES-00003_(Rev. B)_(v2.0_CURRENT)_(Main Content)</t>
  </si>
  <si>
    <t>4600022667-001-03350-302ES-00003</t>
  </si>
  <si>
    <t>FOSO DE DERRAMES, ACCESO Y CÁMARAS ELÉCTRICAS ARMADURAS - PLANTA, ELEVACIÓN Y SECCIONES (3/5)</t>
  </si>
  <si>
    <t>4600022667-001-03350-302ES-00004_(Rev. B)_(v2.0_CURRENT)_(Main Content)</t>
  </si>
  <si>
    <t>4600022667-001-03350-302ES-00004</t>
  </si>
  <si>
    <t>FOSO DE DERRAMES, ACCESO Y CÁMARAS ELÉCTRICAS ARMADURAS - PLANTA, ELEVACIÓN Y SECCIONES (4/6)</t>
  </si>
  <si>
    <t>4600022667-001-03350-302ES-00005_(Rev. B)_(v2.0_CURRENT)_(Main Content)</t>
  </si>
  <si>
    <t>4600022667-001-03350-302ES-00005</t>
  </si>
  <si>
    <t>FOSO DE DERRAMES, ACCESO Y CÁMARAS ELÉCTRICAS ARMADURAS - PLANTA Y SECCIÓN (5/6)</t>
  </si>
  <si>
    <t>4600022667-001-03350-302ES-00006_(Rev. B)_(v2.0_CURRENT)_(Main Content)</t>
  </si>
  <si>
    <t>4600022667-001-03350-302ES-00006</t>
  </si>
  <si>
    <t>FOSO DE DERRAMES, ACCESO Y CÁMARAS ELÉCTRICAS ARMADURAS - PLANTA Y SECCIÓN (6/6)</t>
  </si>
  <si>
    <t>4600022667-001-03350-302ES-00007_(Rev. 0)_(v3.0_CURRENT)_(Main Content)</t>
  </si>
  <si>
    <t>4600022667-001-03350-302ES-00007</t>
  </si>
  <si>
    <t>FUNDACIÓN ESPESADOR ARMADURAS - PLANTA DISPOSICIÓN (1/5)</t>
  </si>
  <si>
    <t>4600022667-001-03350-302ES-00008_(Rev. 0)_(v3.0_CURRENT)_(Main Content)</t>
  </si>
  <si>
    <t>4600022667-001-03350-302ES-00008</t>
  </si>
  <si>
    <t>FUNDACIÓN ESPESADOR ARMADURAS - PLANTAS Y SECCIONES (2/5)</t>
  </si>
  <si>
    <t>4600022667-001-03350-302ES-00009_(Rev. 0)_(v3.0_CURRENT)_(Main Content)</t>
  </si>
  <si>
    <t>4600022667-001-03350-302ES-00009</t>
  </si>
  <si>
    <t>FUNDACIÓN ESPESADOR ARMADURAS - PLANTAS Y SECCIONES (3/5)</t>
  </si>
  <si>
    <t>4600022667-001-03350-302ES-00010_(Rev. 0)_(v3.0_CURRENT)_(Main Content)</t>
  </si>
  <si>
    <t>4600022667-001-03350-302ES-00010</t>
  </si>
  <si>
    <t>FUNDACIÓN ESPESADOR ARMADURAS - ELEVACIONES Y SECCIONES (4/5)</t>
  </si>
  <si>
    <t>4600022667-001-03350-302ES-00011_(Rev. 0)_(v3.0_CURRENT)_(Main Content)</t>
  </si>
  <si>
    <t>4600022667-001-03350-302ES-00011</t>
  </si>
  <si>
    <t>FUNDACIÓN ESPESADOR ARMADURAS - ELEVACIONES Y SECCIONES (5/5)</t>
  </si>
  <si>
    <t>4600022667-001-03350-302ES-00012_(Rev. 0)_(v3.0_CURRENT)_(Main Content)</t>
  </si>
  <si>
    <t>4600022667-001-03350-302ES-00012</t>
  </si>
  <si>
    <t>FUNDACIÓN TORRE CAJÓN ARMADURAS - PLANTA, ELEVACIÓN Y SECCIONES</t>
  </si>
  <si>
    <t>4600022667-001-03350-302ES-00013_(Rev. 0)_(v3.0_CURRENT)_(Main Content)</t>
  </si>
  <si>
    <t>4600022667-001-03350-302ES-00013</t>
  </si>
  <si>
    <t>FUNDACIÓN SALA ELÉCTRICA ARMADURAS - PLANTA, ELEVACIÓN Y SECCIONES</t>
  </si>
  <si>
    <t>4600022667-001-03350-302ES-00014_(Rev. B)_(v2.0_CURRENT)_(Main Content)</t>
  </si>
  <si>
    <t>4600022667-001-03350-302ES-00014</t>
  </si>
  <si>
    <t>FUNDACIONES MISCELÁNEAS ARMADURAS - PLANTAS Y SECCIONES</t>
  </si>
  <si>
    <t>4600022667-001-03350-ESPES-00001_(Rev. 1)_(v3.0_CURRENT)_(Main Content)</t>
  </si>
  <si>
    <t>4600022667-001-03350-ESPES-00001</t>
  </si>
  <si>
    <t>ESPECIFICACIÓN TÉCNICA DE HORMIGÓN</t>
  </si>
  <si>
    <t>4600022667-001-03350-ESPES-00002_(Rev. 0)_(v2.0_CURRENT)_(Main Content)</t>
  </si>
  <si>
    <t>4600022667-001-03350-ESPES-00002</t>
  </si>
  <si>
    <t>ESPECIFICACIÓN TÉCNICA DE ESTRUCTURAS DE ACERO</t>
  </si>
  <si>
    <t>4600022667-001-03350-MDCES-00001_(Rev. 0)_(v3.0_CURRENT)_(Main Content)</t>
  </si>
  <si>
    <t>4600022667-001-03350-MDCES-00001</t>
  </si>
  <si>
    <t>MEMORIA DE CÁLCULO EDIFICIO DE SOPORTE CAJÓN DE TRASPASO</t>
  </si>
  <si>
    <t>4600022667-001-03350-MDCES-00002_(Rev. 1)_(v3.0_CURRENT)_(Main Content)</t>
  </si>
  <si>
    <t>4600022667-001-03350-MDCES-00002</t>
  </si>
  <si>
    <t>MEMORIA DE CÁLCULO FUNDACIÓN ESPESADOR DE CABEZA</t>
  </si>
  <si>
    <t>4600022667-001-03350-MDCES-00003_(Rev. 0)_(v2.0_CURRENT)_(Main Content)</t>
  </si>
  <si>
    <t>4600022667-001-03350-MDCES-00003</t>
  </si>
  <si>
    <t>MEMORIA DE CÁLCULO ANÁLISIS DE ESTABILIDAD, EMPUJES Y DEFORMACIONES DE TALUD NUEVO ESPESADOR</t>
  </si>
  <si>
    <t>4600022667-001-03350-MDCES-00004_(Rev. 0)_(v2.0_CURRENT)_(Main Content)</t>
  </si>
  <si>
    <t>4600022667-001-03350-MDCES-00004</t>
  </si>
  <si>
    <t>MEMORIA DE CÁLCULO VERIFICACIÓN ESTRUCTURAL DEL CAJÓN DE PRECARGA</t>
  </si>
  <si>
    <t>4600022667-001-03350-MDCES-00005_(Rev. 0)_(v3.0_CURRENT)_(Main Content)</t>
  </si>
  <si>
    <t>4600022667-001-03350-MDCES-00005</t>
  </si>
  <si>
    <t>MEMORIA DE CÁLCULO OBRAS MISCELÁNEAS</t>
  </si>
  <si>
    <t>4600022667-001-03350-MDCES-00006_(Rev. 0)_(v2.0_CURRENT)_(Main Content)</t>
  </si>
  <si>
    <t>4600022667-001-03350-MDCES-00006</t>
  </si>
  <si>
    <t>MEMORIA DE CÁLCULO VERIFICACIÓN ESTRUCTURAL DEL CAJÓN DE TRASPASO</t>
  </si>
  <si>
    <t>4600022667-001-03350-MDCES-00007_(Rev. 0)_(v2.0_CURRENT)_(Main Content)</t>
  </si>
  <si>
    <t>4600022667-001-03350-MDCES-00007</t>
  </si>
  <si>
    <t>MEMORIA DE CÁLCULO FUNDACIÓN SALA ELÉCTRICA</t>
  </si>
  <si>
    <t>4600022667-001-03350-MDCHD-00001_(Rev. 1)_(v3.0_CURRENT)_(Main Content)</t>
  </si>
  <si>
    <t>4600022667-001-03350-MDCHD-00001</t>
  </si>
  <si>
    <t>REVISIÓN Y ACTUALIZACIÓN MEMORIA CÁLCULO HIDRÁULICA</t>
  </si>
  <si>
    <t>MECANICO</t>
  </si>
  <si>
    <t>HD_01</t>
  </si>
  <si>
    <t>4600022667-001-03350-MDCHD-00002_(Rev. 0)_(v2.0_CURRENT)_(Main Content)</t>
  </si>
  <si>
    <t>4600022667-001-03350-MDCHD-00002</t>
  </si>
  <si>
    <t>MEMORIA DE CÁLCULO AGUA DE SELLO</t>
  </si>
  <si>
    <t>4600022667-001-03350-INFIT-00001_(Rev. 0)_(v2.0_CURRENT)_(Main Content)</t>
  </si>
  <si>
    <t>4600022667-001-03350-INFIT-00001</t>
  </si>
  <si>
    <t>PLAN DE EJECUCIÓN BIM (PEB)</t>
  </si>
  <si>
    <t>IT_01</t>
  </si>
  <si>
    <t>4600022667-001-03350-MEMIT-00001_(Rev. 0 )_(v3.0_CURRENT)_(Main Content)</t>
  </si>
  <si>
    <t>4600022667-001-03350-MEMIT-00001</t>
  </si>
  <si>
    <t>MEMORÁNDUM TÉCNICO</t>
  </si>
  <si>
    <t>4600022667-001-03350-MEMIT-00002_(Rev. 0)_(v2.0_CURRENT)_(Main Content)</t>
  </si>
  <si>
    <t>4600022667-001-03350-MEMIT-00002</t>
  </si>
  <si>
    <t>MEMORÁNDUM TÉCNICO APROBACIÓN ESTADO E2 MODELO BIM</t>
  </si>
  <si>
    <t>4600022667-001-03350-MEMIT-00003_(Rev. 0)_(v2.0_CURRENT)_(Main Content)</t>
  </si>
  <si>
    <t>4600022667-001-03350-MEMIT-00003</t>
  </si>
  <si>
    <t>MEMORÁNDUM TÉCNICO APROBACION ESTADO E3 MODELO BIM</t>
  </si>
  <si>
    <t>4600022667-001-03350-MEMIT-00004_(Rev. B)_(v1.0_CURRENT)_(Main Content)</t>
  </si>
  <si>
    <t>4600022667-001-03350-MEMIT-00004</t>
  </si>
  <si>
    <t>4600022667-001-03350-MEMIT-00005_(Rev. B)_(v1.0_CURRENT)_(Main Content)</t>
  </si>
  <si>
    <t>4600022667-001-03350-MEMIT-00005</t>
  </si>
  <si>
    <t>4600022667-001-03350-ADDMD-00001_(Rev. 0)_(v2.0_CURRENT)_(Main Content)</t>
  </si>
  <si>
    <t>4600022667-001-03350-ADDMD-00001</t>
  </si>
  <si>
    <t>ADENDA NCC24</t>
  </si>
  <si>
    <t>4600022667-001-03350-ADDMD-00002_(Rev. 0)_(v3.0_CURRENT)_(Main Content)</t>
  </si>
  <si>
    <t>4600022667-001-03350-ADDMD-00002</t>
  </si>
  <si>
    <t>ADENDA NCC30 DE MANTENIBILIDAD (REALIZADA EN FACTIBILIDAD)</t>
  </si>
  <si>
    <t>4600022667-001-03350-ADDMD-00003_(Rev. 1)_(v4.0_CURRENT)_(Main Content)</t>
  </si>
  <si>
    <t>4600022667-001-03350-ADDMD-00003</t>
  </si>
  <si>
    <t>INFORME NCC40 SEGURIDAD CONTRA INCENDIOS</t>
  </si>
  <si>
    <t>4600022667-001-03350-ADDMD-00004_(Rev. 1)_(v4.0_CURRENT)_(Main Content)</t>
  </si>
  <si>
    <t>4600022667-001-03350-ADDMD-00004</t>
  </si>
  <si>
    <t>ADENDA NCC 32 EFICIENCIA ENERGÉTICA DEL PROYECTO</t>
  </si>
  <si>
    <t>4600022667-001-03350-INFMD-00001_(Rev. 2)_(v5.0_CURRENT)_(Main Content)</t>
  </si>
  <si>
    <t>4600022667-001-03350-INFMD-00001</t>
  </si>
  <si>
    <t>INFORME CONDICIONES DE SITIO</t>
  </si>
  <si>
    <t>4600022667-001-03350-INFMD-00002_(Rev. 1)_(v4.0_CURRENT)_(Main Content)</t>
  </si>
  <si>
    <t>4600022667-001-03350-INFMD-00002</t>
  </si>
  <si>
    <t>ACTUALIZACIÓN INFORME TALLER HAZOP</t>
  </si>
  <si>
    <t>ACTUALIZACION INFORME TALLER CONSTRUCTIBILIDAD (INCLUYE TALLER) - SOLO INFORME</t>
  </si>
  <si>
    <t>4600022667-001-03350-INFMD-00003-B Resp JRI</t>
  </si>
  <si>
    <t>ACTUALIZACION INFORME TALLER CONSTRUCTIBILIDAD (INCLUYE TALLER) - RESP JRI</t>
  </si>
  <si>
    <t>4600022667-001-03350-INFMD-00003_(Rev. 0)_(v3.0_CURRENT)_(Main Content)</t>
  </si>
  <si>
    <t>4600022667-001-03350-INFMD-00003</t>
  </si>
  <si>
    <t>ACTUALIZACION INFORME TALLER CONSTRUCTIBILIDAD (INCLUYE TALLER)</t>
  </si>
  <si>
    <t>4600022667-001-03350-INFMD-00012_(Rev. B)_(v1.0_CURRENT)_(Main Content)</t>
  </si>
  <si>
    <t>4600022667-001-03350-INFMD-00012</t>
  </si>
  <si>
    <t>SEÑALÉTICA</t>
  </si>
  <si>
    <t>4600022667-001-03350-MEMMD-00001_(Rev. N)_(v2.0_CURRENT)_(Main Content)</t>
  </si>
  <si>
    <t>4600022667-001-03350-MEMMD-00001</t>
  </si>
  <si>
    <t>4600022667-001-03350-MEMMD-00002_(Rev. 0)_(v1.0_CURRENT)_(Main Content)</t>
  </si>
  <si>
    <t>4600022667-001-03350-MEMMD-00002</t>
  </si>
  <si>
    <t>MEMORÁNDUM TÉCNICO SET UP MECÁNICA</t>
  </si>
  <si>
    <t>4600022667-001-03350-MEMMD-00003_(Rev. 0)_(v1.0_CURRENT)_(Main Content)</t>
  </si>
  <si>
    <t>4600022667-001-03350-MEMMD-00003</t>
  </si>
  <si>
    <t>MEMORÁNDUM TÉCNICO SET UP PIPING</t>
  </si>
  <si>
    <t>4600022667-001-03350-MEMMD-00004_(Rev. 0)_(v1.0_CURRENT)_(Main Content)</t>
  </si>
  <si>
    <t>4600022667-001-03350-MEMMD-00004</t>
  </si>
  <si>
    <t>MEMORÁNDUM TÉCNICO SET UP ESTRUCTURAS</t>
  </si>
  <si>
    <t>4600022667-001-03350-MEMMD-00005_(Rev. 0)_(v1.0_CURRENT)_(Main Content)</t>
  </si>
  <si>
    <t>4600022667-001-03350-MEMMD-00005</t>
  </si>
  <si>
    <t>MEMORÁNDUM TÉCNICO SET UP HORMIGÓN</t>
  </si>
  <si>
    <t>4600022667-001-03350-MEMMD-00006_(Rev. 0)_(v1.0_CURRENT)_(Main Content)</t>
  </si>
  <si>
    <t>4600022667-001-03350-MEMMD-00006</t>
  </si>
  <si>
    <t>MEMORÁNDUM TÉCNICO SETUP MOVIMIENTO DE TIERRAS</t>
  </si>
  <si>
    <t>4600022667-001-03350-MEMMD-00007_(Rev. 0)_(v1.0_CURRENT)_(Main Content)</t>
  </si>
  <si>
    <t>4600022667-001-03350-MEMMD-00007</t>
  </si>
  <si>
    <t>MEMORÁNDUM TÉCNICO SET UP ELECTRICIDAD</t>
  </si>
  <si>
    <t>4600022667-001-03350-MEMMD-00010_(Rev. 0)_(v1.0_CURRENT)_(Main Content)</t>
  </si>
  <si>
    <t>4600022667-001-03350-MEMMD-00010</t>
  </si>
  <si>
    <t>MEMORÁNDUM TÉCNICO SETUP INSTRUMENTACIÓN</t>
  </si>
  <si>
    <t>4600022667-001-03350-MNLMD-00001_(Rev. 0)_(v2.0_CURRENT)_(Main Content)</t>
  </si>
  <si>
    <t>4600022667-001-03350-MNLMD-00001</t>
  </si>
  <si>
    <t>MANUAL DE OPERACIONES Y PUESTA EN MARCHA</t>
  </si>
  <si>
    <t>4600022667-001-03350-PLNMD-00002_(Rev. 2)_(v5.0_CURRENT)_(Main Content)</t>
  </si>
  <si>
    <t>4600022667-001-03350-PLNMD-00002</t>
  </si>
  <si>
    <t>PLAN DE DESARME INSTALACIONES NO CRÍTICAS Y RETIRO DE ESCOMBROS</t>
  </si>
  <si>
    <t>4600022667-001-03350-100ME-00001_(Rev. B)_(v2.0_CURRENT)_(Main Content)</t>
  </si>
  <si>
    <t>4600022667-001-03350-100ME-00001</t>
  </si>
  <si>
    <t>DISPOSICIÓN DE EQUIPOS SECCIONES LAMINA 2 DE 2</t>
  </si>
  <si>
    <t>ME_01</t>
  </si>
  <si>
    <t>4600022667-001-03350-100ME-00002_(Rev. 0)_(v2.0_CURRENT)_(Main Content)</t>
  </si>
  <si>
    <t>4600022667-001-03350-100ME-00002</t>
  </si>
  <si>
    <t>03351-EST-001 - ESTANQUE AGUA DE SELLO DISEÑO</t>
  </si>
  <si>
    <t>4600022667-001-03350-101ME-00001_(Rev. B)_(v1.0_CURRENT)_(Main Content)</t>
  </si>
  <si>
    <t>4600022667-001-03350-101ME-00001</t>
  </si>
  <si>
    <t>DISPOSICIÓN GENERAL PLANTA GENERAL</t>
  </si>
  <si>
    <t>4600022667-001-03350-101ME-00002_(Rev. B)_(v1.0_CURRENT)_(Main Content)</t>
  </si>
  <si>
    <t>4600022667-001-03350-101ME-00002</t>
  </si>
  <si>
    <t>DISPOSICIÓN DE EQUIPOS PLANTAS</t>
  </si>
  <si>
    <t>4600022667-001-03350-101ME-00003_(Rev. B)_(v2.0_CURRENT)_(Main Content)</t>
  </si>
  <si>
    <t>4600022667-001-03350-101ME-00003</t>
  </si>
  <si>
    <t>DISPOSICIÓN DE EQUIPOS SECCIONES LAMINA 1 DE 2</t>
  </si>
  <si>
    <t>4600022667-001-03350-103ME-00001_(Rev. 1)_(v4.0_CURRENT)_(Main Content)</t>
  </si>
  <si>
    <t>4600022667-001-03350-103ME-00001</t>
  </si>
  <si>
    <t>CAJÓN DE PRECARGA - 03551-CAJ-001 DISEÑO</t>
  </si>
  <si>
    <t>4600022667-001-03350-103ME-00002_(Rev. 1)_(v3.0_CURRENT)_(Main Content)</t>
  </si>
  <si>
    <t>4600022667-001-03350-103ME-00002</t>
  </si>
  <si>
    <t>CANALETA - 03351-CAN-001 DISEÑO</t>
  </si>
  <si>
    <t>4600022667-001-03350-103ME-00003_(Rev. 1)_(v3.0_CURRENT)_(Main Content)</t>
  </si>
  <si>
    <t>4600022667-001-03350-103ME-00003</t>
  </si>
  <si>
    <t>CAJÓN DE TRASPASO 03351-CAJ-002 DISEÑO</t>
  </si>
  <si>
    <t>4600022667-001-03350-103ME-00004_(Rev. 0)_(v2.0_CURRENT)_(Main Content)</t>
  </si>
  <si>
    <t>4600022667-001-03350-103ME-00004</t>
  </si>
  <si>
    <t>PIEZA ESPECIAL 03351-ZZM-001 DISEÑO</t>
  </si>
  <si>
    <t>4600022667-001-03350-CRDME-00001_(Rev. 0)_(v2.0_CURRENT)_(Main Content)</t>
  </si>
  <si>
    <t>4600022667-001-03350-CRDME-00001</t>
  </si>
  <si>
    <t>ACTUALIZACIÓN CRITERIO DISEÑO MECÁNICA- PIPING</t>
  </si>
  <si>
    <t>4600022667-001-03350-CUBME-00001_(Rev. B)_(v1.0_CURRENT)_(Main Content)</t>
  </si>
  <si>
    <t>4600022667-001-03350-CUBME-00001</t>
  </si>
  <si>
    <t>CUBICACIONES DE CALDERERÍA</t>
  </si>
  <si>
    <t>4600022667-001-03350-ESPME-00001_(Rev. 0)_(v3.0_CURRENT)_(Main Content)</t>
  </si>
  <si>
    <t>4600022667-001-03350-ESPME-00001</t>
  </si>
  <si>
    <t>ACTUALIZACIÓN ESPECIFICACIÓN TÉCNICA BOMBAS</t>
  </si>
  <si>
    <t>4600022667-001-03350-ESPME-00002_(Rev. 1)_(v4.0_CURRENT)_(Main Content)</t>
  </si>
  <si>
    <t>4600022667-001-03350-ESPME-00002</t>
  </si>
  <si>
    <t>ACTUALIZACIÓN ESPECIFICACIÓN TÉCNICA VÁLVULAS</t>
  </si>
  <si>
    <t>4600022667-001-03350-ESPME-00003_(Rev. 0)_(v3.0_CURRENT)_(Main Content)</t>
  </si>
  <si>
    <t>4600022667-001-03350-ESPME-00003</t>
  </si>
  <si>
    <t>ACTUALIZACIÓN ESPECIFICACIÓN TÉCNICA MATERIALES DE CAÑERÍAS</t>
  </si>
  <si>
    <t>4600022667-001-03350-ESPME-00004_(Rev. 0)_(v3.0_CURRENT)_(Main Content)</t>
  </si>
  <si>
    <t>4600022667-001-03350-ESPME-00004</t>
  </si>
  <si>
    <t>ESPECIFICACIÓN TÉCNICA REVESTIMIENTO INTERIOR DE CAÑERÍAS Y ACCESORIOS</t>
  </si>
  <si>
    <t>4600022667-001-03350-ESPME-00005_(Rev. 0)_(v3.0_CURRENT)_(Main Content)</t>
  </si>
  <si>
    <t>4600022667-001-03350-ESPME-00005</t>
  </si>
  <si>
    <t>ESPECIFICACIÓN TÉCNICA TECLES ELÉCTRICOS</t>
  </si>
  <si>
    <t>4600022667-001-03350-ESPME-00006_(Rev. 1)_(v4.0_CURRENT)_(Main Content)</t>
  </si>
  <si>
    <t>4600022667-001-03350-ESPME-00006</t>
  </si>
  <si>
    <t>ESPECIFICACIÓN TÉCNICA DE CALDERERÍA</t>
  </si>
  <si>
    <t>4600022667-001-03350-ESPME-00007_(Rev. 0)_(v2.0_CURRENT)_(Main Content)</t>
  </si>
  <si>
    <t>4600022667-001-03350-ESPME-00007</t>
  </si>
  <si>
    <t>ESPECIFICACIÓN CORTADOR DE MUESTRAS</t>
  </si>
  <si>
    <t>4600022667-001-03350-HDDME-00001_(Rev. 0)_(v2.0_CURRENT)_(Main Content)</t>
  </si>
  <si>
    <t>4600022667-001-03350-HDDME-00001</t>
  </si>
  <si>
    <t>ACTUALIZACIÓN HOJA DE DATOS BOMBAS DE IMPULSIÓN UNDERFLOW</t>
  </si>
  <si>
    <t>4600022667-001-03350-HDDME-00002_(Rev. 0)_(v2.0_CURRENT)_(Main Content)</t>
  </si>
  <si>
    <t>4600022667-001-03350-HDDME-00002</t>
  </si>
  <si>
    <t>ACTUALIZACIÓN HOJA DE DATOS BOMBAS DE IMPULSIÓN AGUA DE SELLO</t>
  </si>
  <si>
    <t>4600022667-001-03350-HDDME-00003_(Rev. 0)_(v2.0_CURRENT)_(Main Content)</t>
  </si>
  <si>
    <t>4600022667-001-03350-HDDME-00003</t>
  </si>
  <si>
    <t>ACTUALIZACIÓN HOJA DE DATOS BOMBA VERTICAL DE SUMIDERO</t>
  </si>
  <si>
    <t>4600022667-001-03350-HDDME-00004_(Rev. 1)_(v3.0_CURRENT)_(Main Content)</t>
  </si>
  <si>
    <t>4600022667-001-03350-HDDME-00004</t>
  </si>
  <si>
    <t>ACTUALIZACIÓN HOJA DE DATOS VÁLVULAS DE AGUA</t>
  </si>
  <si>
    <t>4600022667-001-03350-HDDME-00005_(Rev. 0)_(v2.0_CURRENT)_(Main Content)</t>
  </si>
  <si>
    <t>4600022667-001-03350-HDDME-00005</t>
  </si>
  <si>
    <t>HOJA DE DATOS VÁLVULAS DE CUCHILLO</t>
  </si>
  <si>
    <t>4600022667-001-03350-HDDME-00006_(Rev. 0)_(v2.0_CURRENT)_(Main Content)</t>
  </si>
  <si>
    <t>4600022667-001-03350-HDDME-00006</t>
  </si>
  <si>
    <t>HOJA DE DATOS VÁLVULAS PINCH Y CONO</t>
  </si>
  <si>
    <t>4600022667-001-03350-HDDME-00007_(Rev. 0)_(v2.0_CURRENT)_(Main Content)</t>
  </si>
  <si>
    <t>4600022667-001-03350-HDDME-00007</t>
  </si>
  <si>
    <t>HOJA DE DATOS CORTADOR DE MUESTRA</t>
  </si>
  <si>
    <t>4600022667-001-03350-LSTME-00001_(Rev. B)_(v2.0_CURRENT)_(Main Content)</t>
  </si>
  <si>
    <t>4600022667-001-03350-LSTME-00001</t>
  </si>
  <si>
    <t>LISTADO TIE INS</t>
  </si>
  <si>
    <t>4600022667-001-03350-LSTME-00002_(Rev. 1)_(v4.0_CURRENT)_(Main Content)</t>
  </si>
  <si>
    <t>4600022667-001-03350-LSTME-00002</t>
  </si>
  <si>
    <t>LISTADO DE EQUIPOS MECÁNICOS</t>
  </si>
  <si>
    <t>4600022667-001-03350-LSTME-00003_(Rev. B)_(v1.0_CURRENT)_(Main Content)</t>
  </si>
  <si>
    <t>4600022667-001-03350-LSTME-00003</t>
  </si>
  <si>
    <t>LISTADO DE VÁLVULAS TODOS LOS SERVICIOS</t>
  </si>
  <si>
    <t>4600022667-001-03350-MDCME-00002_(Rev. 0)_(v3.0_CURRENT)_(Main Content)</t>
  </si>
  <si>
    <t>4600022667-001-03350-MDCME-00002</t>
  </si>
  <si>
    <t>MEMORIA DE CÁLCULO RED DE AIRE COMPRIMIDO</t>
  </si>
  <si>
    <t>4600022667-001-03350-MDCME-00004_(Rev. 1)_(v3.0_CURRENT)_(Main Content)</t>
  </si>
  <si>
    <t>4600022667-001-03350-MDCME-00004</t>
  </si>
  <si>
    <t>MEMORIA DE CÁLCULO CAJÓN DE ALIMENTACIÓN A ESPESADOR</t>
  </si>
  <si>
    <t>4600022667-001-03350-MDCME-00005_(Rev. 0)_(v2.0_CURRENT)_(Main Content)</t>
  </si>
  <si>
    <t>4600022667-001-03350-MDCME-00005</t>
  </si>
  <si>
    <t>MEMORIA DE CÁLCULO VERIFICACIÓN OVERFLOW</t>
  </si>
  <si>
    <t>4600022667-001-03350-202PR-00001_(Rev. 0)_(v2.0_CURRENT)_(Main Content)</t>
  </si>
  <si>
    <t>4600022667-001-03350-202PR-00001</t>
  </si>
  <si>
    <t>ESPESADOR DE CONCENTRADO COLECTIVO DIAGRAMA DE FLUJOS PROCESOS</t>
  </si>
  <si>
    <t>PR_01</t>
  </si>
  <si>
    <t>4600022667-001-03350-500PR-00001_(Rev. 0)_(v2.0_CURRENT)_(Main Content)</t>
  </si>
  <si>
    <t>4600022667-001-03350-500PR-00001</t>
  </si>
  <si>
    <t>ESPESADOR DE CONCENTRADO COLECTIVO ACTUALIZACIÓN ESQUEMA OPERACIÒN DE LA PLANTA</t>
  </si>
  <si>
    <t>4600022667-001-03350-CRDPR-00001_(Rev. 1)_(v3.0_CURRENT)_(Main Content)</t>
  </si>
  <si>
    <t>4600022667-001-03350-CRDPR-00001</t>
  </si>
  <si>
    <t>ACTUALIZACIÓN CRITERIOS DE DISEÑO PROCESOS</t>
  </si>
  <si>
    <t>4600022667-001-03350-INFPR-00001_(Rev. 2)_(v4.0_CURRENT)_(Main Content)</t>
  </si>
  <si>
    <t>4600022667-001-03350-INFPR-00001</t>
  </si>
  <si>
    <t>REVISIÓN INFORME BALANCE DE PROCESO (MASA/AGUA)</t>
  </si>
  <si>
    <t>4600022667-001-03350-MDCPR-00001_(Rev. 0)_(v2.0_CURRENT)_(Main Content)</t>
  </si>
  <si>
    <t>4600022667-001-03350-MDCPR-00001</t>
  </si>
  <si>
    <t>REVISIÓN MEMORIA DE CÁLCULO ESPESADOR DE CONCENTRADO COLECTIVO</t>
  </si>
  <si>
    <t>07.- 27-02-24</t>
  </si>
  <si>
    <t>RV INFORMACIÓN VISITA A TERRENO 2902  Doc1002164805  RFP MONTAJE ESPESADOR DE CABEZA PMFC -DAND</t>
  </si>
  <si>
    <t>CORREO RESPALDO - RV INFORMACIÓN VISITA A TERRENO 2902  DOC1002164805  RFP MONTAJE ESPESADOR DE CABEZA PMFC -DAND</t>
  </si>
  <si>
    <t>Instrucciones para Visita a Terreno Doc1002164805</t>
  </si>
  <si>
    <t>INSTRUCTIVO PARA VISITA A TERRENO DEL PROCESO</t>
  </si>
  <si>
    <t>PMFC</t>
  </si>
  <si>
    <t>MAPA PMFC</t>
  </si>
  <si>
    <t>MAPA</t>
  </si>
  <si>
    <t>08.- 29-02-24</t>
  </si>
  <si>
    <t>RV Información 2da Visita a terreno  Doc1002164805  MONTAJE ESPESADOR DE CABEZA PMFC -DAND</t>
  </si>
  <si>
    <t>CORREO RESPALDO - RV INFORMACIÓN 2DA VISITA A TERRENO  DOC1002164805  MONTAJE ESPESADOR DE CABEZA PMFC -DAND</t>
  </si>
  <si>
    <t>Instrucciones para 2da Visita a Terreno Doc1002164805</t>
  </si>
  <si>
    <t>INSTRUCTIVO PARA 2NDA VISITA A TERRENO DEL PROCESO</t>
  </si>
  <si>
    <t>09.- 01-03-24</t>
  </si>
  <si>
    <t>RV Nueva fecha recepción de Consultas Doc1002164805  MONTAJE ESPESADOR DE CABEZA PMFC -DAND</t>
  </si>
  <si>
    <t>CORREO RESPALDO - RV NUEVA FECHA RECEPCIÓN DE CONSULTAS DOC1002164805  MONTAJE ESPESADOR DE CABEZA PMFC -DAND</t>
  </si>
  <si>
    <t>10.- 27-03-24</t>
  </si>
  <si>
    <t>RV Parcial de respuestas Parte 1  Doc1002164805  MONTAJE ESPESADOR DE CABEZA PMFC -DAND</t>
  </si>
  <si>
    <t>CORREO RESPALDO - RV PARCIAL DE RESPUESTAS PARTE 1 DOC1002164805 MONTAJE ESPESADOR DE CABEZA PMFC -DAND</t>
  </si>
  <si>
    <t>Respuestas Licit Mont espesador cabeza Doc1002164805 parte 1</t>
  </si>
  <si>
    <t>RESPUESTA LICITACION MONTAJES ESPESADOR CABEZA (PARTE 1) 27-03-24</t>
  </si>
  <si>
    <t>Antecedentes</t>
  </si>
  <si>
    <t>Esquema Pintura</t>
  </si>
  <si>
    <t>ESQUEMA DE PINTURA</t>
  </si>
  <si>
    <t>SI-</t>
  </si>
  <si>
    <t>IIF 05698  ANDINA 01 (Alt.1)</t>
  </si>
  <si>
    <t>INSTALACION DE FAENA ANDINA - LAMINA 1 DE 3</t>
  </si>
  <si>
    <t>IIF 05698  ANDINA 02 (Alt.1)</t>
  </si>
  <si>
    <t>INSTALACION DE FAENA ANDINA - LAMINA 2 DE 3</t>
  </si>
  <si>
    <t>IIF 05698  ANDINA 03 (Alt.1)</t>
  </si>
  <si>
    <t>INSTALACION DE FAENA ANDINA - LAMINA 3 DE 3</t>
  </si>
  <si>
    <t>Instalación de Faena</t>
  </si>
  <si>
    <t>ALTERNATIVAS A UBICACIÓN - INSTALACION DE FAENA</t>
  </si>
  <si>
    <t>SKETCH</t>
  </si>
  <si>
    <t>MO 25m HRT Preliminary Packing List</t>
  </si>
  <si>
    <t>THICKENER/CLARIFIER MO 25M HRT - PRELIMINARY PACKING LIST</t>
  </si>
  <si>
    <t>OU650716656</t>
  </si>
  <si>
    <t>EQUIPMENT GENERAL ARRANGEMENT ESPESADOR CONCENTRADO COLECTIVO HIGH RATE THICKENER 25M</t>
  </si>
  <si>
    <t>OU650716673</t>
  </si>
  <si>
    <t>ASSMEBLY DRAWING WELDED TANK ASSEMBLY 0030-TANKAGE COMPONENT WELDED TANK DESIGN THICKENERS (2 LAMINAS)</t>
  </si>
  <si>
    <t>OU650716919</t>
  </si>
  <si>
    <t>FOUNDATION AN LOAD PLAN ESPESADOR CONCENTRADO COLECTIVO FOUNDATION LOADS HIGH RATE THICKENER 25M (2 LAMINAS)</t>
  </si>
  <si>
    <t>OU650720596</t>
  </si>
  <si>
    <t>ASSEMBLY DRAWING BRIDGE ASSEMBLY 0050 - BRIDGE COMPONENTS BRIDGE DESIGNS THICKENERS (2 LAMINAS)</t>
  </si>
  <si>
    <t>OU650720621</t>
  </si>
  <si>
    <t>ASSEMBLY DRAWING DRIVE ASSEMBLY 0060 - RR20000 - 600 LIFT TOP PIN MEGA HYDRAULIC DRIVE  THICKENERS (2 LAMINAS)</t>
  </si>
  <si>
    <t>Presentación FOTOGRÁFICA TDM - EMULSION BITUMINOSA</t>
  </si>
  <si>
    <t>REVESTIMIENTOS CON EMULSIONES BITUMINOSAS</t>
  </si>
  <si>
    <t>Ubicación Bodega y Patio de acopio</t>
  </si>
  <si>
    <t>UBICACIÓN BODEGA Y PATIO DE ACOPIO</t>
  </si>
  <si>
    <t>11.- 09-04-24</t>
  </si>
  <si>
    <t>RV 1era Ronda de respuestas Parte 2  Doc1002164805  MONTAJE ESPESADOR DE CABEZA PMFC -DAND</t>
  </si>
  <si>
    <t>CORREO RESPALDO - RV 1ERA RONDA DE RESPUESTAS PARTE 2  DOC1002164805  MONTAJE ESPESADOR DE CABEZA PMFC -DAND</t>
  </si>
  <si>
    <t>Consolidado Respuestas 2 parte 1° ronda - Licit Mont espesador cabeza 09 Abr24</t>
  </si>
  <si>
    <t>RESPUESTA LICITACION MONTAJES ESPESADOR CABEZA (PARTE 2) 09-04-24 - 1ERA RONDA</t>
  </si>
  <si>
    <t>ECO-01 Doc1002164805 Rev</t>
  </si>
  <si>
    <t>ECO-01A Doc1002164805 Rev</t>
  </si>
  <si>
    <t>4600016215-079-03350-INFGT-00001</t>
  </si>
  <si>
    <t>INFORME MECÁNICA DE SUELOS PLATAFORMA DE NUEVO ESPESADOR</t>
  </si>
  <si>
    <t>P</t>
  </si>
  <si>
    <t>Aclaraciones Restantes 08 Abril24</t>
  </si>
  <si>
    <t>4600022667-001-03350-HDDAT-00006</t>
  </si>
  <si>
    <t>HOJA DE DATOS INSTRUMENTOS DE DENSIDAD</t>
  </si>
  <si>
    <t>4600022667-001-03350-MNLMD-00001-0 SIN OBSERVACIONES</t>
  </si>
  <si>
    <t>4600024153-005-03000-INFGM-00002</t>
  </si>
  <si>
    <t>SONDAJE Y ANÁLISIS DE SUELO – ESPESADOR DE CABEZA SONDAJE N°2</t>
  </si>
  <si>
    <t>4600024153-005-03000-INFGM-00003</t>
  </si>
  <si>
    <t>SONDAJE Y ANÁLISIS DE SUELO – ESPESADOR DE CABEZA SONDAJE N°3</t>
  </si>
  <si>
    <t>Anexo 6 Listado Planos y documentos (rev 21-02-2024)</t>
  </si>
  <si>
    <t>LISTADO DE PLANOS Y DOCUMENTOS (REV. 21-02-2024)</t>
  </si>
  <si>
    <t>Esquema pintura cañerías y RAL</t>
  </si>
  <si>
    <t>ESQUEMA DE PINTURA DE CAÑERIAS CORRESPONDIENTES A ESPESADOR DE CABEZA PMFC</t>
  </si>
  <si>
    <t>F039 SS 01 Detalle de Partidas</t>
  </si>
  <si>
    <t>ITEMIZADO - DETALLE DE PARTIDAS</t>
  </si>
  <si>
    <t>ITEMIZADO</t>
  </si>
  <si>
    <t>IMG_20210324_111518_125</t>
  </si>
  <si>
    <t>IMAGEN</t>
  </si>
  <si>
    <t>IMG_20210324_114136_904</t>
  </si>
  <si>
    <t>Mapa Riesgo Ruido Ambiental PMFC 2022 V1</t>
  </si>
  <si>
    <t>MAPA DE RIESGO RUIDO AMBIENTAL 2022</t>
  </si>
  <si>
    <t>SUSTENTABILIDAD</t>
  </si>
  <si>
    <t>SGP-02CAN-ESPTC-00001</t>
  </si>
  <si>
    <t>ESPECIFICACION FABRICACION, IDENTIFICACION Y MATERIALES DE CAÑERIAS</t>
  </si>
  <si>
    <t>SGP-02EST-ESPTC-00001</t>
  </si>
  <si>
    <t>ESPECIFICACION HORMIGON ESTRUCTURAL, FABRICACION Y MONTAJE DE ESTRUCTURAS DE ACERO Y REVESTIMIENTOS ANTICORROSIVOS</t>
  </si>
  <si>
    <t>SGPD-02CAN-CRTTC-0001</t>
  </si>
  <si>
    <t>CRITERIO DISEÑO CAÑERÍAS</t>
  </si>
  <si>
    <t>SGPD-02CAN-ESPTC-0001</t>
  </si>
  <si>
    <t>ESPECIFICACIÓN FABRICACIÓN, IDENTIFICACIÓN Y MATERIALES DE CAÑERÍAS</t>
  </si>
  <si>
    <t>PROCEDIMIENTO DE SEGURIDAD Y SALUD OCUPACIONAL APLICABLE A LAS EMPRESAS CONTRATISTAS “RESEC DE SEGURIDAD Y SALUD EN EL TRABAJO”</t>
  </si>
  <si>
    <t>4502191319-03340-HDDMD-00001</t>
  </si>
  <si>
    <t>DATA SHEET 25M HIGH RATE THICKENER (HRT)</t>
  </si>
  <si>
    <t>Aclaraciones Restantes 08 Abril24/Entregables METSO</t>
  </si>
  <si>
    <t>4502191319-03340-LSTMD-00001</t>
  </si>
  <si>
    <t>SOARE SPARTS LIST</t>
  </si>
  <si>
    <t>A</t>
  </si>
  <si>
    <t>904954-HRT25-Esquema pintura HRT 25 mt-Rev01</t>
  </si>
  <si>
    <t>ESQUEMA DE PINTURA PROYECTO ESPESADOR HRT 25 MT CODELCO</t>
  </si>
  <si>
    <t>904954-T10-OU650716673 - 0 TANK ASSEMBLY</t>
  </si>
  <si>
    <t>904954-T10-OU650718543 - 0 Mechanism Assembly</t>
  </si>
  <si>
    <t>ASSMEBLY DRAWING MECHANISM ASSEMBLY 0070 - MECHANISM COMPONENTS MECHANISM DESIGNS THICKENERS (2 LAMINAS)</t>
  </si>
  <si>
    <t>904954-T10-OU650720596 - 0 BRIDGE ASSEMBLY</t>
  </si>
  <si>
    <t>904954-T10-OU650720621 - 0 DRIVE ASSEMBLY</t>
  </si>
  <si>
    <t>904954-T10-OU650721173 - 0</t>
  </si>
  <si>
    <t>MANUFACTURING DRAWING DEAERATION TANK ASSEMBLY DA275 FEED SYSTEM</t>
  </si>
  <si>
    <t>904954-T10-OU650722111 - 0 -Feed Assembly</t>
  </si>
  <si>
    <t>MANUFACTURING DRAWING FEED ASSEMBLY TRUSS BRIDGE FEED SYSTEM THICKENERS (2 LAMINAS)</t>
  </si>
  <si>
    <t>904954-T10-OU650722896 - 0</t>
  </si>
  <si>
    <t>MANUFACTURING DRAWING FROTH SPRAY ASSEMBLY FEED SYSTEM THICKENERS</t>
  </si>
  <si>
    <t>904954-T10-OU650723018 - 0</t>
  </si>
  <si>
    <t>ASSEMBLY DRAWING SPRAY PIPE ASSEMBLY DA725 FEED SYSTEM THICKENERS</t>
  </si>
  <si>
    <t>Document Schedule_revB</t>
  </si>
  <si>
    <t>Document Schedule</t>
  </si>
  <si>
    <t xml:space="preserve">DOCUMENT SCHEDULE </t>
  </si>
  <si>
    <t>Hydraulic Power Unit Electric Motor Datasheet</t>
  </si>
  <si>
    <t>HOJA DE DATOS MOTOR TRIFASICO DE INDUCCION - ROTOR DE JAULA</t>
  </si>
  <si>
    <t>Lista Entregables</t>
  </si>
  <si>
    <t>LISTA ENTREGABLES</t>
  </si>
  <si>
    <t>MO 3257997 Technical  Quotation Rev.2</t>
  </si>
  <si>
    <t xml:space="preserve">METSO OUTOTEC THICKENING - FIRM PROPOSAL - TECHNICAL QUOTATION </t>
  </si>
  <si>
    <t>MO 3257997 Technical Description Rev.2</t>
  </si>
  <si>
    <t>METSO OUTOTEC TECHNICAL DESCRIPTION</t>
  </si>
  <si>
    <t>MO Technical Clarification - Exception List Rev.03</t>
  </si>
  <si>
    <t>ESPESADOR CONCENTRADO COLECTIVO PMFC - RFQ TECHNICAL CLARIFICATION - EXCEPTION LIST</t>
  </si>
  <si>
    <t>NV07619-0245-045-00_Rev.0</t>
  </si>
  <si>
    <t>NV07619-0245-045-00</t>
  </si>
  <si>
    <t>METSO CHILE SPA ESPESADOR 25 MT - PLANO DE ARMADO FEEDING SYSTEM</t>
  </si>
  <si>
    <t>NV07619-0245-045-01_Rev.0</t>
  </si>
  <si>
    <t>NV07619-0245-045-01</t>
  </si>
  <si>
    <t>METSO CHILE SPA ESPESADOR 25 MT - PLANO DE ARMADO RAKE MECHANISM</t>
  </si>
  <si>
    <t>NV07619-0245-MON-01_Rev.0</t>
  </si>
  <si>
    <t>NV07619-0245-MON-01</t>
  </si>
  <si>
    <t>METSO CHILE SPA ESPESADOR 25 MT - PLANO DE MONTAJE FEED SYSTEM</t>
  </si>
  <si>
    <t>NV07619-0245-MON-02_Rev.0</t>
  </si>
  <si>
    <t>NV07619-0245-MON-02</t>
  </si>
  <si>
    <t>METSO CHILE SPA ESPESADOR 25 MT - PLANO DE MONTAJE RAKE MECHANISM</t>
  </si>
  <si>
    <t>NV07619-0245-MON-03_Rev.0</t>
  </si>
  <si>
    <t>NV07619-0245-MON-03</t>
  </si>
  <si>
    <t>METSO CHILE SPA ESPESADOR 25 MT - PLANO DE MONTAJE OPERATION TANK ASSEMBLY</t>
  </si>
  <si>
    <t>NV07619-0245-MON-04_Rev.0</t>
  </si>
  <si>
    <t>NV07619-0245-MON-04</t>
  </si>
  <si>
    <t>METSO CHILE SPA ESPESADOR 25 MT - PLANO DE MONTAJE DRIVE</t>
  </si>
  <si>
    <t>OU500849833_R0_FUNCTION DESCRIPTION</t>
  </si>
  <si>
    <t>OU500849833</t>
  </si>
  <si>
    <t>FUNCTION DESCRIPTION CONTROL FUNCTIONAL DESCRIPTION</t>
  </si>
  <si>
    <t>OU500849835_R0_LIST OF ELECTRICAL EQUIPMENT</t>
  </si>
  <si>
    <t>OU500849835</t>
  </si>
  <si>
    <t>LIST OF ELECTRICAL EQUIPMENT CONCENTRATOR PLANT THICKHENING THICKENER, HRT, 25M, COPPER CONCENTRATE (TH001)</t>
  </si>
  <si>
    <t>OU500849836_R0_P_I DIAGRAM</t>
  </si>
  <si>
    <t>OU500849836</t>
  </si>
  <si>
    <t>P&amp;I DIAGRAM CONCENTRATOR PLANT THICKHENING THICKENER, HRT, 25M, COPPER CONCENTRATE (2 LAMINAS)</t>
  </si>
  <si>
    <t>OU500849837_R0_SINGLE LINE DIAGRAM</t>
  </si>
  <si>
    <t>OU500849837</t>
  </si>
  <si>
    <t>SINGLE LINE DIAGRAM CONCENTRATOR PLANT THICKHENING THICKENER, HRT, 25M, COPPER CONCENTRATE (TH001)</t>
  </si>
  <si>
    <t>OU500849838_R0_CABLE LIST</t>
  </si>
  <si>
    <t>OU500849838</t>
  </si>
  <si>
    <t>CABLE LIST CONCENTRATOR PLANT THICKHENING THICKENER, HRT, 25M, COPPER CONCENTRATE (TH001)</t>
  </si>
  <si>
    <t>OU500849839_R0_CABLE CONNECTION DIAGRAM</t>
  </si>
  <si>
    <t>CABLE CONNECTION DIAGRAM CONCENTRATOR PLANT THICKHENING THICKENER, HRT, 25M, COPPER CONCENTRATE (TH001)</t>
  </si>
  <si>
    <t>OU500849840_R0_LIST OF ELECTRICAL CONSUMERS</t>
  </si>
  <si>
    <t>OU500849840</t>
  </si>
  <si>
    <t>LIST OF ELECTRICAL CONSUMERS</t>
  </si>
  <si>
    <t>OU500849841_R0_INSTRUMENT LIST</t>
  </si>
  <si>
    <t>OU500849841</t>
  </si>
  <si>
    <t>INSTRUMENT LIST</t>
  </si>
  <si>
    <t>OU500849844 Panel de Control</t>
  </si>
  <si>
    <t>CABINET AND PANEL ARRANGMENT DRAWING CONCENTRATOR PLANT THICKHENING THICKENER, HRT, 25M, COPPER CONCENTRATE, CONTROL PANEL (TH001-LCP01) LAYOUT, ISOMETRIC</t>
  </si>
  <si>
    <t>OU500849844_R0_CABINET AND PANEL ARRANGMENT DRAWING</t>
  </si>
  <si>
    <t>OU500849844</t>
  </si>
  <si>
    <t>CABINET AND PANEL ARRANGMENT DRAWING</t>
  </si>
  <si>
    <t>OU650002650_R5_General Arrangement Drawing</t>
  </si>
  <si>
    <t>OU650002650</t>
  </si>
  <si>
    <t>GENERAL ARRANGEMENT DRAWING HYDRAULIC POWER UNIT SIZE 2 HPU 5.5-37 KW TRUSS BRIDGE THICKENERS</t>
  </si>
  <si>
    <t>OU650726898_R1</t>
  </si>
  <si>
    <t>OU650726898</t>
  </si>
  <si>
    <t>HYDRAULIC DIAGRAM COPPER CONCENTRATE 25M HRT HYDRAULIC POWER UNIT SIZE 2 - 15HP HYDRAULIC CIRCUIT SPECIFICATION</t>
  </si>
  <si>
    <t>Packing List NV07619 METSO ESPESADOR 25 MT</t>
  </si>
  <si>
    <t>PACKING LIST NV07619 (01-04-24)</t>
  </si>
  <si>
    <t>12.- 22-04-24</t>
  </si>
  <si>
    <t>Consolidado de Respuestas 2da ronda 1era parte</t>
  </si>
  <si>
    <t>CORREO RESPALDO - CONSOLIDADO DE RESPUESTAS 2DA RONDA 1ERA PARTE</t>
  </si>
  <si>
    <t>RE_ Consolidado de Respuestas 2da ronda</t>
  </si>
  <si>
    <t>CORREO RESPALDO - RE_ CONSOLIDADO DE RESPUESTAS 2DA RONDA</t>
  </si>
  <si>
    <t>RV Consolidado de Respuestas 2da ronda 1era parte  Doc1002164805  MONTAJE ESPESADOR DE CABEZA PMFC -DAND</t>
  </si>
  <si>
    <t>CORREO RESPALDO - RV CONSOLIDADO DE RESPUESTAS 2DA RONDA 1ERA PARTE  DOC1002164805  MONTAJE ESPESADOR DE CABEZA PMFC -DAND</t>
  </si>
  <si>
    <t>RV Consolidado N1 de respuestas  Doc1002164805  MONTAJE ESPESADOR DE CABEZA PMFC -DAND</t>
  </si>
  <si>
    <t>CORREO RESPALDO - RV CONSOLIDADO N1 DE RESPUESTAS  DOC1002164805  MONTAJE ESPESADOR DE CABEZA PMFC -DAND</t>
  </si>
  <si>
    <t>4600022667-001-03350-HDDAT-00002_2</t>
  </si>
  <si>
    <t>4600022667-001-03350-HDDAT-00003_2</t>
  </si>
  <si>
    <t>HOJA DE DATOS ISNTRUMENTOS DE DENSIDAD</t>
  </si>
  <si>
    <t>Consolidado RESPUESTAS 2° Ronda - 1era Parte  Licitación Doc1002164805</t>
  </si>
  <si>
    <t>RESPUESTA LICITACION MONTAJES ESPESADOR CABEZA (PARTE 1) 22-04-24 - 2NDA RONDA</t>
  </si>
  <si>
    <t>ECO-01 Doc1002164805 Rev 2</t>
  </si>
  <si>
    <t>ECO-01A Doc1002164805 Rev 2</t>
  </si>
  <si>
    <t>F039-ESP-SS01-PI-001</t>
  </si>
  <si>
    <t>4600022667-001-03350-ESPCA-00001 - ESPECIFICACIÓN TÉCNICA SOLDADURA CAÑERÍAS ACERO Y ENSAYOS NO DESTRUCTIVOS</t>
  </si>
  <si>
    <t>F039-ESP-SS01-PI-002</t>
  </si>
  <si>
    <t>4600022667-001-03350-ESPCA-00002 - ESPECIFICACIÓN TÉCNICA SOLDADURA CAÑERÍAS DE HDPE Y ENSAYOS NO DESTRUCTIVOS</t>
  </si>
  <si>
    <t>SGP-02CIV-ESPTC-00001 - ESPECIFICACIÓN - MOVIMIENTOS DE TIERRAS, TOPOGRAFÍA, CAMINOS Y OOCC</t>
  </si>
  <si>
    <t>ESPECIFICACION TECNICA MOVIMIENTOS DE TIERRAS, TOPGRAFIA, CAMINOS Y OOCC</t>
  </si>
  <si>
    <t>EST-MF-1 - Conjunto_rev05</t>
  </si>
  <si>
    <t>EST-MF-1 - Conjunto</t>
  </si>
  <si>
    <t>DESPIECE EST-MF-1</t>
  </si>
  <si>
    <t>EST-MF-2 - Conjunto_rev03</t>
  </si>
  <si>
    <t>EST-MF-2 - Conjunto</t>
  </si>
  <si>
    <t>DESPIECE EST-MF-2</t>
  </si>
  <si>
    <t>EST-MF-3 - Conjunto_rev02</t>
  </si>
  <si>
    <t>EST-MF-3 - Conjunto</t>
  </si>
  <si>
    <t>DESPIECE EST-MF-3</t>
  </si>
  <si>
    <t>NV07614-0245-MON-07_rev0</t>
  </si>
  <si>
    <t>NV07614-0245-MON-07</t>
  </si>
  <si>
    <t>PLANO MONTAJE GENERAL - GENERAL - NV07614-0245-MON-07</t>
  </si>
  <si>
    <t>NV07619-0245-MON-05_rev0</t>
  </si>
  <si>
    <t>NV07619-0245-MON-05</t>
  </si>
  <si>
    <t>PLANO MONTAJE GENERAL - ESTANQUE - NV07619-0245-MON-05</t>
  </si>
  <si>
    <t>NV07619-0245-MON-06_rev04</t>
  </si>
  <si>
    <t>NV07619-0245-MON-06</t>
  </si>
  <si>
    <t>PLANO MONTAJE GENERAL - PUENTE - NV07619-0245-MON-06</t>
  </si>
  <si>
    <t>OU500806697 HRT WELDED</t>
  </si>
  <si>
    <t>INSTALLATION - INSPECTION DATA SHEET - WELDED TANK THICKENER/CLARIFIER</t>
  </si>
  <si>
    <t>13.- 24-04-24</t>
  </si>
  <si>
    <t>RV Consolidado de respuestas 2da ronda 2da parte  Doc1002164805  MONTAJE ESPESADOR DE CABEZA PMFC -DAND</t>
  </si>
  <si>
    <t>CORREO RESPALDO - RV CONSOLIDADO DE RESPUESTAS 2DA RONDA 2DA PARTE DOC1002164805  MONTAJE ESPESADOR DE CABEZA PMFC -DAND</t>
  </si>
  <si>
    <t>Consolidado 2° ronda Consultas Licitación Doc1002164805 24 Abr24</t>
  </si>
  <si>
    <t>RESPUESTA LICITACION MONTAJES ESPESADOR CABEZA (PARTE 2) 24-04-24 - 2NDA RONDA</t>
  </si>
  <si>
    <t>F039SS01 (2)</t>
  </si>
  <si>
    <t>MODELO 3D - F039SS01  24-04-24</t>
  </si>
  <si>
    <t>SIGO-ECC-003-03 Perdida de Control Maniobra de Izaje v1</t>
  </si>
  <si>
    <t>SIGO-I-013_REV04 Instructivo regulación del uso de la licencia eléctrica</t>
  </si>
  <si>
    <t>SIGO-R-GE-007 REGLAMENTO SEGURIDAD ÉLECTRICA DAND</t>
  </si>
  <si>
    <t>14.- 26-04-24</t>
  </si>
  <si>
    <t>Planos Mecanicos Pendientes _ Doc1002164805 _ MONTAJE ESPESADOR DE CABEZA PMFC -DAND</t>
  </si>
  <si>
    <t>CORREO RESPALDO - PLANOS MECANICOS PENDIENTES _ DOC1002164805 _ MONTAJE ESPESADOR DE CABEZA PMFC -DAND</t>
  </si>
  <si>
    <t>15.- 06-05-24</t>
  </si>
  <si>
    <t>RV_ Aplazamiento fecha de recepción de oferta _ Doc1002164805 _ MONTAJE ESPESADOR DE CABEZA PMFC -DAND</t>
  </si>
  <si>
    <t>CORREO RESPALDO - RV_ APLAZAMIENTO FECHA DE RECEPCION DE OFERTA _ DOC1002164805 _ MONTAJE ESPESADOR DE CABEZA PMFC -DAND</t>
  </si>
  <si>
    <t>16.- 17-05-24</t>
  </si>
  <si>
    <t>Fwd El evento RFP MONTAJE ESPESADOR DE CABEZA PMFC -DAND ha sido ampliado en 7 días.</t>
  </si>
  <si>
    <t>CORREO RESPALDO - FWD EL EVENTO RFP MONTAJE ESPESADOR DE CABEZA PMFC -DAND HA SIDO AMPLIADO EN 7 DIAS</t>
  </si>
  <si>
    <t>17.- 23-05-24</t>
  </si>
  <si>
    <t>RV Confirmación formulario Económico  Doc1002164805  MONTAJE ESPESADOR DE CABEZA PMFC -DAND</t>
  </si>
  <si>
    <t>CORREO RESPALDO - RV CONFIRMACIÓN FORMULARIO ECONÓMICO  DOC1002164805  MONTAJE ESPESADOR DE CABEZA PMFC -DAND</t>
  </si>
  <si>
    <t>18.- 28-05-24</t>
  </si>
  <si>
    <t>RV El evento RFP MONTAJE ESPESADOR DE CABEZA PMFC -DAND ha sido ampliado en 5 días.</t>
  </si>
  <si>
    <t>CORREO RESPALDO - RV EL EVENTO RFP MONTAJE ESPESADOR DE CABEZA PMFC -DAND HA SIDO AMPLIADO EN 5 DIAS</t>
  </si>
  <si>
    <t>19.- 11-06-25</t>
  </si>
  <si>
    <t>RV Aclaración Formulario ANT-01 Rev.1   MONTAJE ESPESADOR DE CABEZA PMFC -DAND.</t>
  </si>
  <si>
    <t>CORREO RESPALDO - RV ACLARACIÓN FORMULARIO ANT-01 REV.1   MONTAJE ESPESADOR DE CABEZA PMFC -DAND.</t>
  </si>
  <si>
    <t>RV Comentario introducido en el evento RFP MONTAJE ESPESADOR DE CABEZA PMFC -DAND.</t>
  </si>
  <si>
    <t>CORREO RESPALDO - RV COMENTARIO INTRODUCIDO EN EL EVENTO RFP MONTAJE ESPESADOR DE CABEZA PMFC -DAND.</t>
  </si>
  <si>
    <t>ANT-04 Rev.1</t>
  </si>
  <si>
    <t>20.- 01-07-24</t>
  </si>
  <si>
    <t>RV_ NUEVA ACLARACIÓN DE OFERTAS _  MONTAJE ESPESADOR DE CABEZA PMFC -DAND.</t>
  </si>
  <si>
    <t>CORREO RESPALDO - RV_ NUEVA ACLARACIÓN DE OFERTAS _  MONTAJE ESPESADOR DE CABEZA PMFC -DAND.</t>
  </si>
  <si>
    <t>ECHEVERRIA</t>
  </si>
  <si>
    <t>ACLARACIÓN DE OFERTA PROCESO DE LICITACIÓN MONTAJE ESPESADOR DE CABEZA PMFC -DAND</t>
  </si>
  <si>
    <t>21.- 08-08-24</t>
  </si>
  <si>
    <t>RV_ Comentario introducido en el evento</t>
  </si>
  <si>
    <t>CORREO RESPALDO - RV_ COMENTARIO INTRODUCIDO EN EL EVENTO</t>
  </si>
  <si>
    <t>22.- 20-08-24</t>
  </si>
  <si>
    <t>COTIZACION_FESTO_4928065097</t>
  </si>
  <si>
    <t>CARTA COTIZACION COTIZACION FESTO 4928065097</t>
  </si>
  <si>
    <t>COTIZACION</t>
  </si>
  <si>
    <t>TCN</t>
  </si>
  <si>
    <t>OT 4928065097 CORP. NACIONAL DEL COBRE CL_CS.2214612</t>
  </si>
  <si>
    <t>COTIZACION TECNICA / COEMRCIAL - FESTO CL_CS.2214612 / 4928065097 - GABIENTE DE CONTROL ESPESADOR DE CABEZA TCN-1</t>
  </si>
  <si>
    <t>OT 4928065097 CORP. NACIONAL DEL COBRE CL_CS.2214865</t>
  </si>
  <si>
    <t>COTIZACION TECNICA / COEMRCIAL - FESTO CL_CS.2214865 / 4928065097 - GABIENTE DE CONTROL ESPESADOR DE CABEZA TCN-2</t>
  </si>
  <si>
    <t>OT 4928065097 CORP. NACIONAL DEL COBRE CL_CS.2214876</t>
  </si>
  <si>
    <t>COTIZACION TECNICA / COEMRCIAL - FESTO CL_CS.2214876 / 4928065097 - GABIENTE DE CONTROL ESPESADOR DE CABEZA TCN-3</t>
  </si>
  <si>
    <t>OT 4928065097 CORP. NACIONAL DEL COBRE CL_CS.2214882</t>
  </si>
  <si>
    <t>COTIZACION TECNICA / COEMRCIAL - FESTO CL_CS.2214882 / 4928065097 - GABIENTE DE CONTROL ESPESADOR DE CABEZA TCN-4</t>
  </si>
  <si>
    <t>OT 4928065097 CORP. NACIONAL DEL COBRE CL_CS.2214885</t>
  </si>
  <si>
    <t>COTIZACION TECNICA / COEMRCIAL - FESTO CL_CS.2214885 / 4928065097 - GABIENTE DE CONTROL ESPESADOR DE CABEZA TCN-5</t>
  </si>
  <si>
    <t>OT 4928065097 CORP. NACIONAL DEL COBRE CL_CS.2214898</t>
  </si>
  <si>
    <t>COTIZACION TECNICA / COEMRCIAL - FESTO CL_CS.2214898 / 4928065097 - GABIENTE DE CONTROL ESPESADOR DE CABEZA TCN-6</t>
  </si>
  <si>
    <t>OT 4928065097 CORP. NACIONAL DEL COBRE CL_CS.2214900</t>
  </si>
  <si>
    <t>COTIZACION TECNICA / COEMRCIAL - FESTO CL_CS.2214900 / 4928065097 - GABIENTE DE CONTROL ESPESADOR DE CABEZA TCN-7</t>
  </si>
  <si>
    <t>OT 4928065097 CORP. NACIONAL DEL COBRE CL_CS.2214901</t>
  </si>
  <si>
    <t>COTIZACION TECNICA / COEMRCIAL - FESTO CL_CS.2214901 / 4928065097 - GABIENTE DE CONTROL ESPESADOR DE CABEZA TCN-8</t>
  </si>
  <si>
    <t>Termos e condições SAM - CHILE</t>
  </si>
  <si>
    <t>TERMINOS Y CONDICIONES DE VENTA</t>
  </si>
  <si>
    <t>24.- 11-09-24</t>
  </si>
  <si>
    <t>RV_ Aclaración económica 3 RFP MONTAJE ESPESADOR DE CABEZA PMFC -DAND.</t>
  </si>
  <si>
    <t>CORREO RESPALDO - RV_ ACLARACIÓN ECONÓMICA 3 RFP MONTAJE ESPESADOR DE CABEZA PMFC -DAND.</t>
  </si>
  <si>
    <t>25.- 05-06-25</t>
  </si>
  <si>
    <t>Aumento Vigencia Oerta RFP MONTAJE ESPESADOR DE CABEZA PMFC -DAND.</t>
  </si>
  <si>
    <t>CORREO RESPALDO - AUMENTO VIGENCIA OERTA RFP MONTAJE ESPESADOR DE CABEZA PMFC -DAND.</t>
  </si>
  <si>
    <t>26.- 15-05-25</t>
  </si>
  <si>
    <t>Carta Informativa</t>
  </si>
  <si>
    <t>CORREO RESPALDO - CARTA INFORMATIVA</t>
  </si>
  <si>
    <t>Carta Proceso Desierto WS1226203040</t>
  </si>
  <si>
    <t>CARTA DECLARACION LICITACION DESIERTA</t>
  </si>
  <si>
    <t>27. 05-06-25</t>
  </si>
  <si>
    <t>Aumento Vigencia Oerta</t>
  </si>
  <si>
    <t>CORREO RESPALDO - AUMENTO VIGENCIA OERTA</t>
  </si>
  <si>
    <t>Reunión informativa Estatus</t>
  </si>
  <si>
    <t>CORREO RESPALDO - REUNION INFORMATIVA ESTATUS</t>
  </si>
  <si>
    <t>28.- 11-06-25</t>
  </si>
  <si>
    <t>RV_ Aumento Vigencia Oferta</t>
  </si>
  <si>
    <t>CORREO RESPALDO - RV_ AUMENTO VIGENCIA OFERTA</t>
  </si>
  <si>
    <t>ITEM</t>
  </si>
  <si>
    <r>
      <rPr>
        <sz val="10"/>
        <color rgb="FFFFFFFF"/>
        <rFont val="Arial"/>
        <family val="2"/>
      </rPr>
      <t>NUMERO DE DOCUMENTO</t>
    </r>
  </si>
  <si>
    <r>
      <rPr>
        <sz val="10"/>
        <color rgb="FFFFFFFF"/>
        <rFont val="Arial"/>
        <family val="2"/>
      </rPr>
      <t>REV</t>
    </r>
  </si>
  <si>
    <r>
      <rPr>
        <sz val="10"/>
        <color rgb="FFFFFFFF"/>
        <rFont val="Arial"/>
        <family val="2"/>
      </rPr>
      <t>TITULO</t>
    </r>
  </si>
  <si>
    <r>
      <rPr>
        <sz val="10"/>
        <color rgb="FFFFFFFF"/>
        <rFont val="Arial"/>
        <family val="2"/>
      </rPr>
      <t>CODIGO ALTERNATIVO</t>
    </r>
  </si>
  <si>
    <r>
      <rPr>
        <sz val="8"/>
        <color rgb="FF1900B8"/>
        <rFont val="Arial"/>
        <family val="2"/>
      </rPr>
      <t>4600022667-001-03350-000CA-00001</t>
    </r>
  </si>
  <si>
    <r>
      <rPr>
        <sz val="8"/>
        <color rgb="FF1900B8"/>
        <rFont val="Arial"/>
        <family val="2"/>
      </rPr>
      <t>4600022667-001-03350-000CA-00002</t>
    </r>
  </si>
  <si>
    <t>LÍNEAS COLAS PRIMERA LIMPIEZA - SECCIONES</t>
  </si>
  <si>
    <r>
      <rPr>
        <sz val="8"/>
        <color rgb="FF1900B8"/>
        <rFont val="Arial"/>
        <family val="2"/>
      </rPr>
      <t>4600022667-001-03350-000CA-00003</t>
    </r>
  </si>
  <si>
    <t>LÍNEAS DE CONCENTRADO CU-MO - DISPOSICIÓN GENERAL - SECCIONES Y DETALLES (3 DE 3)</t>
  </si>
  <si>
    <r>
      <rPr>
        <sz val="8"/>
        <color rgb="FF1900B8"/>
        <rFont val="Arial"/>
        <family val="2"/>
      </rPr>
      <t>4600022667-001-03350-002AT-00001</t>
    </r>
  </si>
  <si>
    <t>F039-SS01-PL-IN-043</t>
  </si>
  <si>
    <r>
      <rPr>
        <sz val="8"/>
        <color rgb="FF1900B8"/>
        <rFont val="Arial"/>
        <family val="2"/>
      </rPr>
      <t>4600022667-001-03350-002AT-00002</t>
    </r>
  </si>
  <si>
    <t>DETALLES DE MONTAJE PIT / PI / PSL</t>
  </si>
  <si>
    <t>F039-SS01-PL-IN-041</t>
  </si>
  <si>
    <r>
      <rPr>
        <sz val="8"/>
        <color rgb="FF1900B8"/>
        <rFont val="Arial"/>
        <family val="2"/>
      </rPr>
      <t>4600022667-001-03350-002AT-00003</t>
    </r>
  </si>
  <si>
    <t>DETALLES DE MONTAJE SV / FSL / DIT</t>
  </si>
  <si>
    <t>F039-SS01-PL-IN-042</t>
  </si>
  <si>
    <r>
      <rPr>
        <sz val="8"/>
        <color rgb="FF1900B8"/>
        <rFont val="Arial"/>
        <family val="2"/>
      </rPr>
      <t>4600022667-001-03350-002EL-00005</t>
    </r>
  </si>
  <si>
    <r>
      <rPr>
        <sz val="8"/>
        <color rgb="FF1900B8"/>
        <rFont val="Arial"/>
        <family val="2"/>
      </rPr>
      <t>4600022667-001-03350-002EL-00006</t>
    </r>
  </si>
  <si>
    <r>
      <rPr>
        <sz val="8"/>
        <color rgb="FF1900B8"/>
        <rFont val="Arial"/>
        <family val="2"/>
      </rPr>
      <t>4600022667-001-03350-002EL-00007</t>
    </r>
  </si>
  <si>
    <r>
      <rPr>
        <sz val="8"/>
        <color rgb="FF1900B8"/>
        <rFont val="Arial"/>
        <family val="2"/>
      </rPr>
      <t>4600022667-001-03350-100AR-00001</t>
    </r>
  </si>
  <si>
    <t>DISPOSICIÓN GENERAL - PLANTA DISPOSICIÓN GENERAL Y CUBIERTA CASA DE CAMBIO</t>
  </si>
  <si>
    <t>F039-SS01-GA-AR-001</t>
  </si>
  <si>
    <r>
      <rPr>
        <sz val="8"/>
        <color rgb="FF1900B8"/>
        <rFont val="Arial"/>
        <family val="2"/>
      </rPr>
      <t>4600022667-001-03350-100AR-00002</t>
    </r>
  </si>
  <si>
    <t>DISPOSICIÓN GENERAL - PLANTA DISPOSICIÓN GENERAL Y CUBIERTA BODEGA DE ALMACENAMIENTO INDUSTRIAL</t>
  </si>
  <si>
    <t>F039-SS01-GA-AR-002</t>
  </si>
  <si>
    <r>
      <rPr>
        <sz val="8"/>
        <color rgb="FF1900B8"/>
        <rFont val="Arial"/>
        <family val="2"/>
      </rPr>
      <t>4600022667-001-03350-100AR-00003</t>
    </r>
  </si>
  <si>
    <t>DISPOSICIÓN GENERAL - PLANTA DISPOSICIÓN GENERAL Y CUBIERTA ESTACIÓN DE TRANSFERENCIA DE RESIDUOS</t>
  </si>
  <si>
    <t>F039-SS01-GA-AR-003</t>
  </si>
  <si>
    <r>
      <rPr>
        <sz val="8"/>
        <color rgb="FF1900B8"/>
        <rFont val="Arial"/>
        <family val="2"/>
      </rPr>
      <t>4600022667-001-03350-100CA-00001</t>
    </r>
  </si>
  <si>
    <r>
      <rPr>
        <sz val="8"/>
        <color rgb="FF1900B8"/>
        <rFont val="Arial"/>
        <family val="2"/>
      </rPr>
      <t>4600022667-001-03350-100CA-00002</t>
    </r>
  </si>
  <si>
    <t>DISPOSICIÓN GENERAL (1 DE 2) - PLANTA</t>
  </si>
  <si>
    <r>
      <rPr>
        <sz val="8"/>
        <color rgb="FF1900B8"/>
        <rFont val="Arial"/>
        <family val="2"/>
      </rPr>
      <t>4600022667-001-03350-100CA-00003</t>
    </r>
  </si>
  <si>
    <t>DISPOSICIÓN GENERAL (2 DE 2) - PLANTA</t>
  </si>
  <si>
    <r>
      <rPr>
        <sz val="8"/>
        <color rgb="FF1900B8"/>
        <rFont val="Arial"/>
        <family val="2"/>
      </rPr>
      <t>4600022667-001-03350-100CI-00001</t>
    </r>
  </si>
  <si>
    <t>DISPOSICIÓN GENERAL - PLANTA INFRAESTRUCTURA NO CRITICA UBICACIÓN DEFINITIVA</t>
  </si>
  <si>
    <t>F039-SS01-GA-CI-001</t>
  </si>
  <si>
    <r>
      <rPr>
        <sz val="8"/>
        <color rgb="FF1900B8"/>
        <rFont val="Arial"/>
        <family val="2"/>
      </rPr>
      <t>4600022667-001-03350-100CI-00004</t>
    </r>
  </si>
  <si>
    <t>DISPOSICIÓN GENERAL - PLANTA INFRAESTRUCTURA NO CRITICA UBICACIÓN EN TRANSICIÓN</t>
  </si>
  <si>
    <t>F039-SS01-GA-CI-004</t>
  </si>
  <si>
    <r>
      <rPr>
        <sz val="8"/>
        <color rgb="FF1900B8"/>
        <rFont val="Arial"/>
        <family val="2"/>
      </rPr>
      <t>4600022667-001-03350-100EL-00005</t>
    </r>
  </si>
  <si>
    <r>
      <rPr>
        <sz val="8"/>
        <color rgb="FF1900B8"/>
        <rFont val="Arial"/>
        <family val="2"/>
      </rPr>
      <t>4600022667-001-03350-100EL-00006</t>
    </r>
  </si>
  <si>
    <r>
      <rPr>
        <sz val="8"/>
        <color rgb="FF1900B8"/>
        <rFont val="Arial"/>
        <family val="2"/>
      </rPr>
      <t>4600022667-001-03350-100EL-00007</t>
    </r>
  </si>
  <si>
    <r>
      <rPr>
        <sz val="8"/>
        <color rgb="FF1900B8"/>
        <rFont val="Arial"/>
        <family val="2"/>
      </rPr>
      <t>4600022667-001-03350-100ME-00001</t>
    </r>
  </si>
  <si>
    <r>
      <rPr>
        <sz val="8"/>
        <color rgb="FF1900B8"/>
        <rFont val="Arial"/>
        <family val="2"/>
      </rPr>
      <t>4600022667-001-03350-100ME-00002</t>
    </r>
  </si>
  <si>
    <t>ESTANQUE AGUA DE SELLO - 03351-EST-001 - DISEÑO</t>
  </si>
  <si>
    <t>F039-SS01-PL-ME-009</t>
  </si>
  <si>
    <r>
      <rPr>
        <sz val="8"/>
        <color rgb="FF1900B8"/>
        <rFont val="Arial"/>
        <family val="2"/>
      </rPr>
      <t>4600022667-001-03350-101ME-00001</t>
    </r>
  </si>
  <si>
    <t>DISPOSICIÓN GENERAL - PLANTA GENERAL</t>
  </si>
  <si>
    <t>F039-SS01-PL-ME-001</t>
  </si>
  <si>
    <r>
      <rPr>
        <sz val="8"/>
        <color rgb="FF1900B8"/>
        <rFont val="Arial"/>
        <family val="2"/>
      </rPr>
      <t>4600022667-001-03350-101ME-00002</t>
    </r>
  </si>
  <si>
    <t>DISPOSICIÓN DE EQUIPOS - PLANTAS</t>
  </si>
  <si>
    <t>F039-SS01-PL-ME-002</t>
  </si>
  <si>
    <r>
      <rPr>
        <sz val="8"/>
        <color rgb="FF1900B8"/>
        <rFont val="Arial"/>
        <family val="2"/>
      </rPr>
      <t>4600022667-001-03350-101ME-00003</t>
    </r>
  </si>
  <si>
    <r>
      <rPr>
        <sz val="8"/>
        <color rgb="FF1900B8"/>
        <rFont val="Arial"/>
        <family val="2"/>
      </rPr>
      <t>4600022667-001-03350-102CA-00001</t>
    </r>
  </si>
  <si>
    <t>AIRE DE INSTRUMENTACIÓN - DISPOSICIÓN GENERAL - PLANTA</t>
  </si>
  <si>
    <r>
      <rPr>
        <sz val="8"/>
        <color rgb="FF1900B8"/>
        <rFont val="Arial"/>
        <family val="2"/>
      </rPr>
      <t>4600022667-001-03350-102CA-00002</t>
    </r>
  </si>
  <si>
    <r>
      <rPr>
        <sz val="8"/>
        <color rgb="FF1900B8"/>
        <rFont val="Arial"/>
        <family val="2"/>
      </rPr>
      <t>4600022667-001-03350-102CA-00003</t>
    </r>
  </si>
  <si>
    <t>AGUA DE SELLO - DISPOSICIÓN GENERAL - PLANTA</t>
  </si>
  <si>
    <r>
      <rPr>
        <sz val="8"/>
        <color rgb="FF1900B8"/>
        <rFont val="Arial"/>
        <family val="2"/>
      </rPr>
      <t>4600022667-001-03350-102CA-00004</t>
    </r>
  </si>
  <si>
    <t>AGUA DE SELLO - DISPOSICIÓN GENERAL- SECCIONES Y DETALLES</t>
  </si>
  <si>
    <r>
      <rPr>
        <sz val="8"/>
        <color rgb="FF1900B8"/>
        <rFont val="Arial"/>
        <family val="2"/>
      </rPr>
      <t>4600022667-001-03350-102CA-00005</t>
    </r>
  </si>
  <si>
    <t>AGUA DE PROCESO - DISPOSICIÓN GENERAL - PLANTA</t>
  </si>
  <si>
    <r>
      <rPr>
        <sz val="8"/>
        <color rgb="FF1900B8"/>
        <rFont val="Arial"/>
        <family val="2"/>
      </rPr>
      <t>4600022667-001-03350-102CA-00006</t>
    </r>
  </si>
  <si>
    <t>AGUA DE PROCESO - DISPOSICIÓN GENERAL
- SECCIONES Y DETALLES</t>
  </si>
  <si>
    <r>
      <rPr>
        <sz val="8"/>
        <color rgb="FF1900B8"/>
        <rFont val="Arial"/>
        <family val="2"/>
      </rPr>
      <t>4600022667-001-03350-102CA-00007</t>
    </r>
  </si>
  <si>
    <t>AGUA RECUPERADA - DISPOSICIÓN GENERAL
- PLANTA</t>
  </si>
  <si>
    <r>
      <rPr>
        <sz val="8"/>
        <color rgb="FF1900B8"/>
        <rFont val="Arial"/>
        <family val="2"/>
      </rPr>
      <t>4600022667-001-03350-102CA-00008</t>
    </r>
  </si>
  <si>
    <r>
      <rPr>
        <sz val="8"/>
        <color rgb="FF1900B8"/>
        <rFont val="Arial"/>
        <family val="2"/>
      </rPr>
      <t>4600022667-001-03350-102CA-00009</t>
    </r>
  </si>
  <si>
    <t>CONCENTRADO Cu-Mo - DISPOSICIÓN GENERAL (1 DE 2) PLANTA</t>
  </si>
  <si>
    <r>
      <rPr>
        <sz val="8"/>
        <color rgb="FF1900B8"/>
        <rFont val="Arial"/>
        <family val="2"/>
      </rPr>
      <t>4600022667-001-03350-102CA-00010</t>
    </r>
  </si>
  <si>
    <t>CONCENTRADO Cu-Mo - DISPOSICIÓN GENERAL (2 DE 2) PLANTA</t>
  </si>
  <si>
    <r>
      <rPr>
        <sz val="8"/>
        <color rgb="FF1900B8"/>
        <rFont val="Arial"/>
        <family val="2"/>
      </rPr>
      <t>4600022667-001-03350-102CA-00011</t>
    </r>
  </si>
  <si>
    <t>LÍNEAS DE CONCENTRADO CU-MO - DISPOSICIÓN GENERAL - SECCIONES Y DETALLES (1 DE 3)</t>
  </si>
  <si>
    <r>
      <rPr>
        <sz val="8"/>
        <color rgb="FF1900B8"/>
        <rFont val="Arial"/>
        <family val="2"/>
      </rPr>
      <t>4600022667-001-03350-102CA-00012</t>
    </r>
  </si>
  <si>
    <r>
      <rPr>
        <sz val="8"/>
        <color rgb="FF1900B8"/>
        <rFont val="Arial"/>
        <family val="2"/>
      </rPr>
      <t>4600022667-001-03350-102CA-00013</t>
    </r>
  </si>
  <si>
    <r>
      <rPr>
        <sz val="8"/>
        <color rgb="FF1900B8"/>
        <rFont val="Arial"/>
        <family val="2"/>
      </rPr>
      <t>4600022667-001-03350-102CA-00014</t>
    </r>
  </si>
  <si>
    <t>RED DE INCENDIO - DISPOSICIÓN GENERAL - SECCIONES Y DETALLES</t>
  </si>
  <si>
    <r>
      <rPr>
        <sz val="8"/>
        <color rgb="FF1900B8"/>
        <rFont val="Arial"/>
        <family val="2"/>
      </rPr>
      <t>4600022667-001-03350-102CA-00015</t>
    </r>
  </si>
  <si>
    <t>LÍNEAS COLAS PRIMERA LIMPIEZA - PLANTA</t>
  </si>
  <si>
    <r>
      <rPr>
        <sz val="8"/>
        <color rgb="FF1900B8"/>
        <rFont val="Arial"/>
        <family val="2"/>
      </rPr>
      <t>4600022667-001-03350-103ME-00001</t>
    </r>
  </si>
  <si>
    <t>CAJÓN DE PRECARGA - 03551-CAJ-001 - DISEÑO</t>
  </si>
  <si>
    <r>
      <rPr>
        <sz val="8"/>
        <color rgb="FF1900B8"/>
        <rFont val="Arial"/>
        <family val="2"/>
      </rPr>
      <t>4600022667-001-03350-103ME-00002</t>
    </r>
  </si>
  <si>
    <t>CANALETA - 03351-CAN-001 - DISEÑO</t>
  </si>
  <si>
    <t>F039-SS01-PL-ME-005</t>
  </si>
  <si>
    <r>
      <rPr>
        <sz val="8"/>
        <color rgb="FF1900B8"/>
        <rFont val="Arial"/>
        <family val="2"/>
      </rPr>
      <t>4600022667-001-03350-103ME-00003</t>
    </r>
  </si>
  <si>
    <t>CAJÓN DE TRASPASO 03351-CAJ-002 - DISEÑO</t>
  </si>
  <si>
    <t>F039-SS01-PL-ME-006</t>
  </si>
  <si>
    <r>
      <rPr>
        <sz val="8"/>
        <color rgb="FF1900B8"/>
        <rFont val="Arial"/>
        <family val="2"/>
      </rPr>
      <t>4600022667-001-03350-103ME-00004</t>
    </r>
  </si>
  <si>
    <t>PIEZA ESPECIAL 03351-ZZM-001 - DISEÑO</t>
  </si>
  <si>
    <t>F039-SS01-PL-ME-007</t>
  </si>
  <si>
    <r>
      <rPr>
        <sz val="8"/>
        <color rgb="FF1900B8"/>
        <rFont val="Arial"/>
        <family val="2"/>
      </rPr>
      <t>4600022667-001-03350-105AT-00001</t>
    </r>
  </si>
  <si>
    <r>
      <rPr>
        <sz val="8"/>
        <color rgb="FF1900B8"/>
        <rFont val="Arial"/>
        <family val="2"/>
      </rPr>
      <t>4600022667-001-03350-105AT-00002</t>
    </r>
  </si>
  <si>
    <r>
      <rPr>
        <sz val="8"/>
        <color rgb="FF1900B8"/>
        <rFont val="Arial"/>
        <family val="2"/>
      </rPr>
      <t>4600022667-001-03350-105AT-00003</t>
    </r>
  </si>
  <si>
    <r>
      <rPr>
        <sz val="8"/>
        <color rgb="FF1900B8"/>
        <rFont val="Arial"/>
        <family val="2"/>
      </rPr>
      <t>4600022667-001-03350-110EL-00001</t>
    </r>
  </si>
  <si>
    <t>DISPOSICIÓN DE EQUIPOS ELÉCTRICOS - SALA ELÉCTRICA 03350-SEL-001</t>
  </si>
  <si>
    <r>
      <rPr>
        <sz val="8"/>
        <color rgb="FF1900B8"/>
        <rFont val="Arial"/>
        <family val="2"/>
      </rPr>
      <t>4600022667-001-03350-201CA-00001</t>
    </r>
  </si>
  <si>
    <t>P&amp;D SIMBOLOGÍA Y NOMENCLATURA MECÁNICA PIPING</t>
  </si>
  <si>
    <t>F039-SS01-PD-PI-001</t>
  </si>
  <si>
    <r>
      <rPr>
        <sz val="8"/>
        <color rgb="FF1900B8"/>
        <rFont val="Arial"/>
        <family val="2"/>
      </rPr>
      <t>4600022667-001-03350-201CA-00002</t>
    </r>
  </si>
  <si>
    <t>P&amp;D - ESPESADOR DE CONCENTRADO COLECTIVO</t>
  </si>
  <si>
    <t>F039-SS01-PD-PI-002</t>
  </si>
  <si>
    <r>
      <rPr>
        <sz val="8"/>
        <color rgb="FF1900B8"/>
        <rFont val="Arial"/>
        <family val="2"/>
      </rPr>
      <t>4600022667-001-03350-201CA-00003</t>
    </r>
  </si>
  <si>
    <t>P&amp;ID BOMBAS UNDERFLOW ESPESADOR</t>
  </si>
  <si>
    <t>F039-SS01-PD-PI-003</t>
  </si>
  <si>
    <r>
      <rPr>
        <sz val="8"/>
        <color rgb="FF1900B8"/>
        <rFont val="Arial"/>
        <family val="2"/>
      </rPr>
      <t>4600022667-001-03350-201CA-00004</t>
    </r>
  </si>
  <si>
    <t>P&amp;D TIE-IN, CAJONES DE TRASPASO Y RETORNOS</t>
  </si>
  <si>
    <t>F039-SS01-PD-PI-004</t>
  </si>
  <si>
    <r>
      <rPr>
        <sz val="8"/>
        <color rgb="FF1900B8"/>
        <rFont val="Arial"/>
        <family val="2"/>
      </rPr>
      <t>4600022667-001-03350-201CA-00005</t>
    </r>
  </si>
  <si>
    <t>P&amp;D - AIRE DE INSTRUMENTACIÓN</t>
  </si>
  <si>
    <t>F039-SS01-PD-PI-005</t>
  </si>
  <si>
    <r>
      <rPr>
        <sz val="8"/>
        <color rgb="FF1900B8"/>
        <rFont val="Arial"/>
        <family val="2"/>
      </rPr>
      <t>4600022667-001-03350-201CA-00006</t>
    </r>
  </si>
  <si>
    <t>P&amp;D SISTEMA DE PROTECIÓN CONTRA INCENDIO</t>
  </si>
  <si>
    <t>F039-SS01-PD-PI-006</t>
  </si>
  <si>
    <r>
      <rPr>
        <sz val="8"/>
        <color rgb="FF1900B8"/>
        <rFont val="Arial"/>
        <family val="2"/>
      </rPr>
      <t>4600022667-001-03350-202AT-00001</t>
    </r>
  </si>
  <si>
    <t>DIAGRAMA UNILINEAL - TABLERO 03350-TDI- 001</t>
  </si>
  <si>
    <t>F039-SS01-PL-IN-044</t>
  </si>
  <si>
    <r>
      <rPr>
        <sz val="8"/>
        <color rgb="FF1900B8"/>
        <rFont val="Arial"/>
        <family val="2"/>
      </rPr>
      <t>4600022667-001-03350-202AT-00002</t>
    </r>
  </si>
  <si>
    <t>DIAGRAMA UNILINEAL - TABLERO 03350-TDI- 002</t>
  </si>
  <si>
    <t>F039-SS01-PL-IN-045</t>
  </si>
  <si>
    <r>
      <rPr>
        <sz val="8"/>
        <color rgb="FF1900B8"/>
        <rFont val="Arial"/>
        <family val="2"/>
      </rPr>
      <t>4600022667-001-03350-202CI-00001</t>
    </r>
  </si>
  <si>
    <t>DISPOSICIÓN GENERAL - PLANTAS Y SECCIONES</t>
  </si>
  <si>
    <t>F039-SS01-PL-CI-008</t>
  </si>
  <si>
    <r>
      <rPr>
        <sz val="8"/>
        <color rgb="FF1900B8"/>
        <rFont val="Arial"/>
        <family val="2"/>
      </rPr>
      <t>4600022667-001-03350-202CI-00002</t>
    </r>
  </si>
  <si>
    <t>CAMINO SUPERIOR - EJES 1, 1A Y 1B  PLANTA
- PERFIL Y SECCIONES</t>
  </si>
  <si>
    <t>F039-SS01-PL-CI-009</t>
  </si>
  <si>
    <r>
      <rPr>
        <sz val="8"/>
        <color rgb="FF1900B8"/>
        <rFont val="Arial"/>
        <family val="2"/>
      </rPr>
      <t>4600022667-001-03350-202CI-00003</t>
    </r>
  </si>
  <si>
    <t>EJES 1A Y 1B - PERFIL Y SECCIONES</t>
  </si>
  <si>
    <t>F039-SS01-PL-CI-010</t>
  </si>
  <si>
    <r>
      <rPr>
        <sz val="8"/>
        <color rgb="FF1900B8"/>
        <rFont val="Arial"/>
        <family val="2"/>
      </rPr>
      <t>4600022667-001-03350-202CI-00004</t>
    </r>
  </si>
  <si>
    <t>CAMINO SUPERIOR - EJES 2 Y 2A PLANTA - PERFILES Y SECCIONES</t>
  </si>
  <si>
    <t>F039-SS01-PL-CI-011</t>
  </si>
  <si>
    <r>
      <rPr>
        <sz val="8"/>
        <color rgb="FF1900B8"/>
        <rFont val="Arial"/>
        <family val="2"/>
      </rPr>
      <t>4600022667-001-03350-202CI-00005</t>
    </r>
  </si>
  <si>
    <t>CAMINO ACCESO A ESPESADOR EJE 3 - PLANTA, PERFIL Y SECCIONES</t>
  </si>
  <si>
    <r>
      <rPr>
        <sz val="8"/>
        <color rgb="FF1900B8"/>
        <rFont val="Arial"/>
        <family val="2"/>
      </rPr>
      <t>4600022667-001-03350-202CI-00006</t>
    </r>
  </si>
  <si>
    <t>SALA ELÉCTRICA Y ESPESADOR - PLANTA Y SECCIONES</t>
  </si>
  <si>
    <r>
      <rPr>
        <sz val="8"/>
        <color rgb="FF1900B8"/>
        <rFont val="Arial"/>
        <family val="2"/>
      </rPr>
      <t>4600022667-001-03350-202CI-00007</t>
    </r>
  </si>
  <si>
    <t>DISPOSICIÓN GENERAL - PLANTA Y SECCIONES</t>
  </si>
  <si>
    <r>
      <rPr>
        <sz val="8"/>
        <color rgb="FF1900B8"/>
        <rFont val="Arial"/>
        <family val="2"/>
      </rPr>
      <t>4600022667-001-03350-202CI-00009</t>
    </r>
  </si>
  <si>
    <t>F039-SS01-PL-GN-002</t>
  </si>
  <si>
    <r>
      <rPr>
        <sz val="8"/>
        <color rgb="FF1900B8"/>
        <rFont val="Arial"/>
        <family val="2"/>
      </rPr>
      <t>4600022667-001-03350-202EL-00001</t>
    </r>
  </si>
  <si>
    <t>UNILINEAL CCM BAJA TENSIÓN 03350-CCM- 001</t>
  </si>
  <si>
    <t>F039-SS01-PL-EL-001</t>
  </si>
  <si>
    <r>
      <rPr>
        <sz val="8"/>
        <color rgb="FF1900B8"/>
        <rFont val="Arial"/>
        <family val="2"/>
      </rPr>
      <t>4600022667-001-03350-202EL-00005</t>
    </r>
  </si>
  <si>
    <t>F039-SS01-PL-EL-052</t>
  </si>
  <si>
    <r>
      <rPr>
        <sz val="8"/>
        <color rgb="FF1900B8"/>
        <rFont val="Arial"/>
        <family val="2"/>
      </rPr>
      <t>4600022667-001-03350-202EL-00006</t>
    </r>
  </si>
  <si>
    <t>PLANO UNILINEAL TABLERO DE FUERZA Y ALUMBRADO</t>
  </si>
  <si>
    <t>F039-SS01-PL-EL-053</t>
  </si>
  <si>
    <r>
      <rPr>
        <sz val="8"/>
        <color rgb="FF1900B8"/>
        <rFont val="Arial"/>
        <family val="2"/>
      </rPr>
      <t>4600022667-001-03350-202ES-00001</t>
    </r>
  </si>
  <si>
    <t>FOSO DE DERRAMES, ACCESO Y CÁMARAS ELÉCTRICAS -FORMAS - PLANTA (1/4)</t>
  </si>
  <si>
    <r>
      <rPr>
        <sz val="8"/>
        <color rgb="FF1900B8"/>
        <rFont val="Arial"/>
        <family val="2"/>
      </rPr>
      <t>4600022667-001-03350-202ES-00002</t>
    </r>
  </si>
  <si>
    <t>FOSO DE DERRAMES, ACCESO Y CÁMARAS ELÉCTRICAS - FORMAS - PLANTAS Y SECCIONES (2/4)</t>
  </si>
  <si>
    <r>
      <rPr>
        <sz val="8"/>
        <color rgb="FF1900B8"/>
        <rFont val="Arial"/>
        <family val="2"/>
      </rPr>
      <t>4600022667-001-03350-202ES-00003</t>
    </r>
  </si>
  <si>
    <t>FOSO DE DERRAMES, ACCESO Y CÁMARAS ELÉCTRICAS - FORMAS - PLANTAS Y SECCIONES (3/4)</t>
  </si>
  <si>
    <r>
      <rPr>
        <sz val="8"/>
        <color rgb="FF1900B8"/>
        <rFont val="Arial"/>
        <family val="2"/>
      </rPr>
      <t>4600022667-001-03350-202ES-00004</t>
    </r>
  </si>
  <si>
    <t>FOSO DE DERRAMES, ACCESO Y CÁMARAS ELÉCTRICAS - FORMAS - PLANTAS Y SECCIONES (4/4)</t>
  </si>
  <si>
    <r>
      <rPr>
        <sz val="8"/>
        <color rgb="FF1900B8"/>
        <rFont val="Arial"/>
        <family val="2"/>
      </rPr>
      <t>4600022667-001-03350-202ES-00005</t>
    </r>
  </si>
  <si>
    <r>
      <rPr>
        <sz val="8"/>
        <color rgb="FF1900B8"/>
        <rFont val="Arial"/>
        <family val="2"/>
      </rPr>
      <t>4600022667-001-03350-202ES-00006</t>
    </r>
  </si>
  <si>
    <r>
      <rPr>
        <sz val="8"/>
        <color rgb="FF1900B8"/>
        <rFont val="Arial"/>
        <family val="2"/>
      </rPr>
      <t>4600022667-001-03350-202ES-00007</t>
    </r>
  </si>
  <si>
    <r>
      <rPr>
        <sz val="8"/>
        <color rgb="FF1900B8"/>
        <rFont val="Arial"/>
        <family val="2"/>
      </rPr>
      <t>4600022667-001-03350-202ES-00008</t>
    </r>
  </si>
  <si>
    <t>FUNDACIÓN ESPESADOR TORRE CAJÓN - PLANTA, SECCIÓN Y DETALLE</t>
  </si>
  <si>
    <r>
      <rPr>
        <sz val="8"/>
        <color rgb="FF1900B8"/>
        <rFont val="Arial"/>
        <family val="2"/>
      </rPr>
      <t>4600022667-001-03350-202ES-00009</t>
    </r>
  </si>
  <si>
    <r>
      <rPr>
        <sz val="8"/>
        <color rgb="FF1900B8"/>
        <rFont val="Arial"/>
        <family val="2"/>
      </rPr>
      <t>4600022667-001-03350-202ES-00011</t>
    </r>
  </si>
  <si>
    <t>DISEÑO - LOSA BODEGA - FORMAS Y ARMADURAS</t>
  </si>
  <si>
    <t>F039-SS01-PL-SS-035</t>
  </si>
  <si>
    <r>
      <rPr>
        <sz val="8"/>
        <color rgb="FF1900B8"/>
        <rFont val="Arial"/>
        <family val="2"/>
      </rPr>
      <t>4600022667-001-03350-202ES-00012</t>
    </r>
  </si>
  <si>
    <t>SALA DE CAMBIO MURO DE CONTENCIÓN PLATAFORMA</t>
  </si>
  <si>
    <r>
      <rPr>
        <sz val="8"/>
        <color rgb="FF1900B8"/>
        <rFont val="Arial"/>
        <family val="2"/>
      </rPr>
      <t>4600022667-001-03350-202ES-00013</t>
    </r>
  </si>
  <si>
    <t>FUNDACIONES MISCELÁNEAS - PLANTA UBICACIÓN Y DETALLE FUNDACIONES</t>
  </si>
  <si>
    <r>
      <rPr>
        <sz val="8"/>
        <color rgb="FF1900B8"/>
        <rFont val="Arial"/>
        <family val="2"/>
      </rPr>
      <t>4600022667-001-03350-202PR-00001</t>
    </r>
  </si>
  <si>
    <t>DIAGRAMA DE FLUJOS PROCESOS</t>
  </si>
  <si>
    <t>F039-SS01-FS-PR-001</t>
  </si>
  <si>
    <r>
      <rPr>
        <sz val="8"/>
        <color rgb="FF1900B8"/>
        <rFont val="Arial"/>
        <family val="2"/>
      </rPr>
      <t>4600022667-001-03350-205CA-00001</t>
    </r>
  </si>
  <si>
    <t>TIE-IN 001 CONCENTRADO COLECTIVO - PLANTA, DETALLES Y SECCIONES</t>
  </si>
  <si>
    <t>F039-SS01-PL-PI-001</t>
  </si>
  <si>
    <r>
      <rPr>
        <sz val="8"/>
        <color rgb="FF1900B8"/>
        <rFont val="Arial"/>
        <family val="2"/>
      </rPr>
      <t>4600022667-001-03350-205CA-00002</t>
    </r>
  </si>
  <si>
    <t>TIE-IN 002 Y TIE-IN 004 COLAS PRIMERA LIMPIEZA - PLANTA, DETALLES Y SECCIONES</t>
  </si>
  <si>
    <t>F039-SS01-PL-PI-002</t>
  </si>
  <si>
    <r>
      <rPr>
        <sz val="8"/>
        <color rgb="FF1900B8"/>
        <rFont val="Arial"/>
        <family val="2"/>
      </rPr>
      <t>4600022667-001-03350-205CA-00003</t>
    </r>
  </si>
  <si>
    <r>
      <rPr>
        <sz val="8"/>
        <color rgb="FF1900B8"/>
        <rFont val="Arial"/>
        <family val="2"/>
      </rPr>
      <t>4600022667-001-03350-205CA-00004</t>
    </r>
  </si>
  <si>
    <t>TIE-IN 03351-001 CONCENTRADO Cu-Mo PLANTA Y SECCIÓN</t>
  </si>
  <si>
    <r>
      <rPr>
        <sz val="8"/>
        <color rgb="FF1900B8"/>
        <rFont val="Arial"/>
        <family val="2"/>
      </rPr>
      <t>4600022667-001-03350-205CA-00005</t>
    </r>
  </si>
  <si>
    <t>TIE-IN 03351-002 y 03351-004 COLAS PRIMERA LIMPIEZA PLANTA Y SECCIONES</t>
  </si>
  <si>
    <r>
      <rPr>
        <sz val="8"/>
        <color rgb="FF1900B8"/>
        <rFont val="Arial"/>
        <family val="2"/>
      </rPr>
      <t>4600022667-001-03350-205CA-00006</t>
    </r>
  </si>
  <si>
    <r>
      <rPr>
        <sz val="8"/>
        <color rgb="FF1900B8"/>
        <rFont val="Arial"/>
        <family val="2"/>
      </rPr>
      <t>4600022667-001-03350-205CA-00007</t>
    </r>
  </si>
  <si>
    <r>
      <rPr>
        <sz val="8"/>
        <color rgb="FF1900B8"/>
        <rFont val="Arial"/>
        <family val="2"/>
      </rPr>
      <t>4600022667-001-03350-205CA-00008</t>
    </r>
  </si>
  <si>
    <t>TIE-IN 03351-0007 - RED DE INCENDIO - PLANTA, SECCIONES Y DETALLES</t>
  </si>
  <si>
    <r>
      <rPr>
        <sz val="8"/>
        <color rgb="FF1900B8"/>
        <rFont val="Arial"/>
        <family val="2"/>
      </rPr>
      <t>4600022667-001-03350-205EL-00001</t>
    </r>
  </si>
  <si>
    <t>PLANO CANALIZACIÓN (DESDE GEN A CCM) - PLANTA</t>
  </si>
  <si>
    <r>
      <rPr>
        <sz val="8"/>
        <color rgb="FF1900B8"/>
        <rFont val="Arial"/>
        <family val="2"/>
      </rPr>
      <t>4600022667-001-03350-205EL-00002</t>
    </r>
  </si>
  <si>
    <r>
      <rPr>
        <sz val="8"/>
        <color rgb="FF1900B8"/>
        <rFont val="Arial"/>
        <family val="2"/>
      </rPr>
      <t>4600022667-001-03350-205EL-00003</t>
    </r>
  </si>
  <si>
    <r>
      <rPr>
        <sz val="8"/>
        <color rgb="FF1900B8"/>
        <rFont val="Arial"/>
        <family val="2"/>
      </rPr>
      <t>4600022667-001-03350-205EL-00004</t>
    </r>
  </si>
  <si>
    <r>
      <rPr>
        <sz val="8"/>
        <color rgb="FF1900B8"/>
        <rFont val="Arial"/>
        <family val="2"/>
      </rPr>
      <t>4600022667-001-03350-205ES-00001</t>
    </r>
  </si>
  <si>
    <t>ESTRUCTURA PLATAFORMAS TORRE Y PIPE RACK - PLANTA Y SECCIONES</t>
  </si>
  <si>
    <r>
      <rPr>
        <sz val="8"/>
        <color rgb="FF1900B8"/>
        <rFont val="Arial"/>
        <family val="2"/>
      </rPr>
      <t>4600022667-001-03350-205ES-00002</t>
    </r>
  </si>
  <si>
    <t>DISPOSICIÓN GENERAL ESTRUCTURAS FOSO
- PLANTA GENERAL</t>
  </si>
  <si>
    <r>
      <rPr>
        <sz val="8"/>
        <color rgb="FF1900B8"/>
        <rFont val="Arial"/>
        <family val="2"/>
      </rPr>
      <t>4600022667-001-03350-205ES-00003</t>
    </r>
  </si>
  <si>
    <t>SOPORTE ESCALERILLAS ELECTRICAS ELÉCTRICAS - PLANTA Y SECCIONES (1 / 2)</t>
  </si>
  <si>
    <r>
      <rPr>
        <sz val="8"/>
        <color rgb="FF1900B8"/>
        <rFont val="Arial"/>
        <family val="2"/>
      </rPr>
      <t>4600022667-001-03350-205ES-00004</t>
    </r>
  </si>
  <si>
    <r>
      <rPr>
        <sz val="8"/>
        <color rgb="FF1900B8"/>
        <rFont val="Arial"/>
        <family val="2"/>
      </rPr>
      <t>4600022667-001-03350-205ES-00005</t>
    </r>
  </si>
  <si>
    <t>ESTRUCTURA - DISEÑO - PLANTAS ESTRUCTURA TORRE CAJÓN DE TRASPASO</t>
  </si>
  <si>
    <t>F039-SS01-PL-SS-005</t>
  </si>
  <si>
    <r>
      <rPr>
        <sz val="8"/>
        <color rgb="FF1900B8"/>
        <rFont val="Arial"/>
        <family val="2"/>
      </rPr>
      <t>4600022667-001-03350-205ES-00006</t>
    </r>
  </si>
  <si>
    <t>ESTRUCTURA - DISEÑO - ELEVACIONES (1 DE 2) - ESTRUCTURA TORRE CAJÓN DE TRASPASO</t>
  </si>
  <si>
    <t>F039-SS01-PL-SS-006</t>
  </si>
  <si>
    <r>
      <rPr>
        <sz val="8"/>
        <color rgb="FF1900B8"/>
        <rFont val="Arial"/>
        <family val="2"/>
      </rPr>
      <t>4600022667-001-03350-205ES-00007</t>
    </r>
  </si>
  <si>
    <t>ESTRUCTURA - DISEÑO - ELEVACIONES (2 DE 2) - ESTRUCTURA TORRE CAJÓN DE TRASPASO</t>
  </si>
  <si>
    <t>F039-SS01-PL-SS-007</t>
  </si>
  <si>
    <r>
      <rPr>
        <sz val="8"/>
        <color rgb="FF1900B8"/>
        <rFont val="Arial"/>
        <family val="2"/>
      </rPr>
      <t>4600022667-001-03350-205ES-00008</t>
    </r>
  </si>
  <si>
    <r>
      <rPr>
        <sz val="8"/>
        <color rgb="FF1900B8"/>
        <rFont val="Arial"/>
        <family val="2"/>
      </rPr>
      <t>4600022667-001-03350-205ES-00009</t>
    </r>
  </si>
  <si>
    <t>ESTRUCTURA MONORRIEL Y SOPORTES CAÑERÍAS - PANT Y ELEVACIONES</t>
  </si>
  <si>
    <r>
      <rPr>
        <sz val="8"/>
        <color rgb="FF1900B8"/>
        <rFont val="Arial"/>
        <family val="2"/>
      </rPr>
      <t>4600022667-001-03350-205ES-00010</t>
    </r>
  </si>
  <si>
    <t>PLANOS SOPORTES LINEAS DE PIPING - PLANTAS Y SECCIONES (1/1)</t>
  </si>
  <si>
    <t>F039-SS01-PL-SS-033</t>
  </si>
  <si>
    <r>
      <rPr>
        <sz val="8"/>
        <color rgb="FF1900B8"/>
        <rFont val="Arial"/>
        <family val="2"/>
      </rPr>
      <t>4600022667-001-03350-205ES-00011</t>
    </r>
  </si>
  <si>
    <t>ESTRUCTURAS SOPORTE PIPING Y VÁLVULAS
- PLANTAS Y SECCIONES (2/2)</t>
  </si>
  <si>
    <r>
      <rPr>
        <sz val="8"/>
        <color rgb="FF1900B8"/>
        <rFont val="Arial"/>
        <family val="2"/>
      </rPr>
      <t>4600022667-001-03350-205ES-00012</t>
    </r>
  </si>
  <si>
    <t>PLATAFORMAS ACCESO INSTRUMENTACIÓN - PLANTA Y SECCIONES</t>
  </si>
  <si>
    <r>
      <rPr>
        <sz val="8"/>
        <color rgb="FF1900B8"/>
        <rFont val="Arial"/>
        <family val="2"/>
      </rPr>
      <t>4600022667-001-03350-205ES-00013</t>
    </r>
  </si>
  <si>
    <t>SOPORTES PIPING SECTOR CAMINO - PLANTA Y ELEVACIONES</t>
  </si>
  <si>
    <r>
      <rPr>
        <sz val="8"/>
        <color rgb="FF1900B8"/>
        <rFont val="Arial"/>
        <family val="2"/>
      </rPr>
      <t>4600022667-001-03350-205ES-00014</t>
    </r>
  </si>
  <si>
    <t>SOPORTES ANEXOS ESCALERILLAS ELÉCTRICAS - SOPORTES ANEXOS ESCALERILLAS ELÉCTRICAS</t>
  </si>
  <si>
    <r>
      <rPr>
        <sz val="8"/>
        <color rgb="FF1900B8"/>
        <rFont val="Arial"/>
        <family val="2"/>
      </rPr>
      <t>4600022667-001-03350-205ES-00015</t>
    </r>
  </si>
  <si>
    <t>DETALLES SOPORTES PIPING SECUNDARIOS (1 DE 2) - PLANTAS SECCIONES Y ELEVACIONES</t>
  </si>
  <si>
    <r>
      <rPr>
        <sz val="8"/>
        <color rgb="FF1900B8"/>
        <rFont val="Arial"/>
        <family val="2"/>
      </rPr>
      <t>4600022667-001-03350-205ES-00016</t>
    </r>
  </si>
  <si>
    <t>DETALLES SOPORTES PIPING SECUNDARIOS - DETALLES SOPORTES PIPING SECUNDARIOS F039-SS01-PL-SS-039 ESPESADOR DE CONCENTADO COLECTIVO PMFC - PLANTA MOLIBDENO Y FILTRADO DE COBRE PLANTAS Y SECCIONES (2/2)</t>
  </si>
  <si>
    <r>
      <rPr>
        <sz val="8"/>
        <color rgb="FF1900B8"/>
        <rFont val="Arial"/>
        <family val="2"/>
      </rPr>
      <t>4600022667-001-03350-205ES-00017</t>
    </r>
  </si>
  <si>
    <t>SOPORTES ELÉCTRICOS EXTERIOR FOSO - PLANTA UBICACIÓN Y DETALLE SOPORTES</t>
  </si>
  <si>
    <r>
      <rPr>
        <sz val="8"/>
        <color rgb="FF1900B8"/>
        <rFont val="Arial"/>
        <family val="2"/>
      </rPr>
      <t>4600022667-001-03350-205ES-00023</t>
    </r>
  </si>
  <si>
    <t>PLATAFORMA DESCARGA TECLE Y SOP. MURO EXIST. - EE.MM. - PLANTAS Y SECCIONES</t>
  </si>
  <si>
    <r>
      <rPr>
        <sz val="8"/>
        <color rgb="FF1900B8"/>
        <rFont val="Arial"/>
        <family val="2"/>
      </rPr>
      <t>4600022667-001-03350-205ES-00024</t>
    </r>
  </si>
  <si>
    <t>BARANDAS PERIMETRALES EN MURO FOSO - PLANTA UBICACIÓN Y SECCIONES</t>
  </si>
  <si>
    <t>F039-SS01-PL-SS-047</t>
  </si>
  <si>
    <r>
      <rPr>
        <sz val="8"/>
        <color rgb="FF1900B8"/>
        <rFont val="Arial"/>
        <family val="2"/>
      </rPr>
      <t>4600022667-001-03350-206CA-00001</t>
    </r>
  </si>
  <si>
    <t>PLANO ESTÁNDAR UNIONES REVESTIDAS</t>
  </si>
  <si>
    <r>
      <rPr>
        <sz val="8"/>
        <color rgb="FF1900B8"/>
        <rFont val="Arial"/>
        <family val="2"/>
      </rPr>
      <t>4600022667-001-03350-206EL-00001</t>
    </r>
  </si>
  <si>
    <t>DISPOSICION MALLA PUESTA A TIERRA - PLANTA ESPESADOR</t>
  </si>
  <si>
    <r>
      <rPr>
        <sz val="8"/>
        <color rgb="FF1900B8"/>
        <rFont val="Arial"/>
        <family val="2"/>
      </rPr>
      <t>4600022667-001-03350-208AT-00001</t>
    </r>
  </si>
  <si>
    <t>DIAGRAMA DE CONEXIONADO SISTEMA DE CCTV</t>
  </si>
  <si>
    <t>F039-PL-SS01-IN-047</t>
  </si>
  <si>
    <r>
      <rPr>
        <sz val="8"/>
        <color rgb="FF1900B8"/>
        <rFont val="Arial"/>
        <family val="2"/>
      </rPr>
      <t>4600022667-001-03350-208EL-00013</t>
    </r>
  </si>
  <si>
    <t>PLANO DE CANALIZACIÓN ELÉCTRICA - ALIMENTACIÓN TRANSFERENCIA DE RESIDUOS (TRANSITORIA).</t>
  </si>
  <si>
    <r>
      <rPr>
        <sz val="8"/>
        <color rgb="FF1900B8"/>
        <rFont val="Arial"/>
        <family val="2"/>
      </rPr>
      <t>4600022667-001-03350-208EL-00016</t>
    </r>
  </si>
  <si>
    <t>F039-SS01-PL-EL-060</t>
  </si>
  <si>
    <r>
      <rPr>
        <sz val="8"/>
        <color rgb="FF1900B8"/>
        <rFont val="Arial"/>
        <family val="2"/>
      </rPr>
      <t>4600022667-001-03350-208EL-00017</t>
    </r>
  </si>
  <si>
    <t>F039-SS01-PL-EL-061</t>
  </si>
  <si>
    <r>
      <rPr>
        <sz val="8"/>
        <color rgb="FF1900B8"/>
        <rFont val="Arial"/>
        <family val="2"/>
      </rPr>
      <t>4600022667-001-03350-208EL-00018</t>
    </r>
  </si>
  <si>
    <t>F039-SS01-PL-EL-062</t>
  </si>
  <si>
    <r>
      <rPr>
        <sz val="8"/>
        <color rgb="FF1900B8"/>
        <rFont val="Arial"/>
        <family val="2"/>
      </rPr>
      <t>4600022667-001-03350-208EL-00019</t>
    </r>
  </si>
  <si>
    <t>F039-SS01-PL-EL-063</t>
  </si>
  <si>
    <r>
      <rPr>
        <sz val="8"/>
        <color rgb="FF1900B8"/>
        <rFont val="Arial"/>
        <family val="2"/>
      </rPr>
      <t>4600022667-001-03350-208EL-00020</t>
    </r>
  </si>
  <si>
    <t>F039-SS01-PL-EL-064</t>
  </si>
  <si>
    <r>
      <rPr>
        <sz val="8"/>
        <color rgb="FF1900B8"/>
        <rFont val="Arial"/>
        <family val="2"/>
      </rPr>
      <t>4600022667-001-03350-210EL-00002</t>
    </r>
  </si>
  <si>
    <t>DIAGRAMA ELEMENTAL DE CONTROL MOTOR BOMBA CENTRÍFUGA DESCARGA N°1 03351- BOC-001M</t>
  </si>
  <si>
    <t>F039-SS01-PL-EL-054</t>
  </si>
  <si>
    <r>
      <rPr>
        <sz val="8"/>
        <color rgb="FF1900B8"/>
        <rFont val="Arial"/>
        <family val="2"/>
      </rPr>
      <t>4600022667-001-03350-210EL-00003</t>
    </r>
  </si>
  <si>
    <t>DIAGRAMA ELEMENTAL DE CONTROL MOTOR BOMBA CENTRÍFUGA DESCARGA N°2 03351- BOC-002M</t>
  </si>
  <si>
    <t>F039-SS01-PL-EL-055</t>
  </si>
  <si>
    <r>
      <rPr>
        <sz val="8"/>
        <color rgb="FF1900B8"/>
        <rFont val="Arial"/>
        <family val="2"/>
      </rPr>
      <t>4600022667-001-03350-210EL-00004</t>
    </r>
  </si>
  <si>
    <t>DIAGRAMA ELEMENTAL DE CONTROL MOTOR BOMBA CENTRÍFUGA DESCARGA N°3 03351- BOC-003M</t>
  </si>
  <si>
    <t>F039-SS01-PL-EL-056</t>
  </si>
  <si>
    <r>
      <rPr>
        <sz val="8"/>
        <color rgb="FF1900B8"/>
        <rFont val="Arial"/>
        <family val="2"/>
      </rPr>
      <t>4600022667-001-03350-210EL-00005</t>
    </r>
  </si>
  <si>
    <t>F039-SS01-PL-EL-057</t>
  </si>
  <si>
    <r>
      <rPr>
        <sz val="8"/>
        <color rgb="FF1900B8"/>
        <rFont val="Arial"/>
        <family val="2"/>
      </rPr>
      <t>4600022667-001-03350-210EL-00006</t>
    </r>
  </si>
  <si>
    <t>DIAGRAMA ELEMENTAL DE CONTROL MOTOR BOMBA CENTRIFUGA AGUA SELLO 03351- BOC-004M</t>
  </si>
  <si>
    <t>F039-SS01-PL-EL-058</t>
  </si>
  <si>
    <r>
      <rPr>
        <sz val="8"/>
        <color rgb="FF1900B8"/>
        <rFont val="Arial"/>
        <family val="2"/>
      </rPr>
      <t>4600022667-001-03350-210EL-00007</t>
    </r>
  </si>
  <si>
    <t>DIAGRAMA ELEMENTAL DE CONTROL MOTOR BOMBA CENTRIFUGA AGUA SELLO 03351- BOC-005M</t>
  </si>
  <si>
    <t>F039-SS01-PL-EL-059</t>
  </si>
  <si>
    <r>
      <rPr>
        <sz val="8"/>
        <color rgb="FF1900B8"/>
        <rFont val="Arial"/>
        <family val="2"/>
      </rPr>
      <t>4600022667-001-03350-212EL-00001</t>
    </r>
  </si>
  <si>
    <t>PLANO DISPOSICIÓN Y CANALIZACIÓN DE ALUMBRADO - ESPESADOR</t>
  </si>
  <si>
    <r>
      <rPr>
        <sz val="8"/>
        <color rgb="FF1900B8"/>
        <rFont val="Arial"/>
        <family val="2"/>
      </rPr>
      <t>4600022667-001-03350-212EL-00002</t>
    </r>
  </si>
  <si>
    <t>PLANO DISPOSICIÓN Y CANALIZACIÓN DE ALUMBRADO - PUENTE ESPESADOR</t>
  </si>
  <si>
    <r>
      <rPr>
        <sz val="8"/>
        <color rgb="FF1900B8"/>
        <rFont val="Arial"/>
        <family val="2"/>
      </rPr>
      <t>4600022667-001-03350-212EL-00003</t>
    </r>
  </si>
  <si>
    <t>PLANO DISPOSICIÓN Y CANALIZACIÓN DE ALUMBRADO - ESTRUCTURA 03350-EDF-001</t>
  </si>
  <si>
    <r>
      <rPr>
        <sz val="8"/>
        <color rgb="FF1900B8"/>
        <rFont val="Arial"/>
        <family val="2"/>
      </rPr>
      <t>4600022667-001-03350-212EL-00007</t>
    </r>
  </si>
  <si>
    <r>
      <rPr>
        <sz val="8"/>
        <color rgb="FF1900B8"/>
        <rFont val="Arial"/>
        <family val="2"/>
      </rPr>
      <t>4600022667-001-03350-212EL-00008</t>
    </r>
  </si>
  <si>
    <r>
      <rPr>
        <sz val="8"/>
        <color rgb="FF1900B8"/>
        <rFont val="Arial"/>
        <family val="2"/>
      </rPr>
      <t>4600022667-001-03350-212EL-00011</t>
    </r>
  </si>
  <si>
    <t>PLANO ALUMBRADO DE ACCESO DISPOSICIÓN LUMINARIAS ESTACIÓN DE TRANSFERENCIA</t>
  </si>
  <si>
    <r>
      <rPr>
        <sz val="8"/>
        <color rgb="FF1900B8"/>
        <rFont val="Arial"/>
        <family val="2"/>
      </rPr>
      <t>4600022667-001-03350-221AT-00001</t>
    </r>
  </si>
  <si>
    <t>F039-SS01-PL-IN-001</t>
  </si>
  <si>
    <r>
      <rPr>
        <sz val="8"/>
        <color rgb="FF1900B8"/>
        <rFont val="Arial"/>
        <family val="2"/>
      </rPr>
      <t>4600022667-001-03350-221AT-00002</t>
    </r>
  </si>
  <si>
    <t>DISPOSICIÓN TABLEROS TCN Y VÁLVULAS AUTOMATIZADAS</t>
  </si>
  <si>
    <r>
      <rPr>
        <sz val="8"/>
        <color rgb="FF1900B8"/>
        <rFont val="Arial"/>
        <family val="2"/>
      </rPr>
      <t>4600022667-001-03350-221AT-00003</t>
    </r>
  </si>
  <si>
    <t>DIAGRAMA DE SEGMENTOS - RED MUDBUS TCP</t>
  </si>
  <si>
    <t>F039-SS01-PL-IN-049</t>
  </si>
  <si>
    <r>
      <rPr>
        <sz val="8"/>
        <color rgb="FF1900B8"/>
        <rFont val="Arial"/>
        <family val="2"/>
      </rPr>
      <t>4600022667-001-03350-226AT-00001</t>
    </r>
  </si>
  <si>
    <t>MANEJO DE DERRAMES - LÁM 001 DIAG. LÓGICOS DE CONTROL</t>
  </si>
  <si>
    <r>
      <rPr>
        <sz val="8"/>
        <color rgb="FF1900B8"/>
        <rFont val="Arial"/>
        <family val="2"/>
      </rPr>
      <t>4600022667-001-03350-226AT-00002</t>
    </r>
  </si>
  <si>
    <t>VÁLVULAS OVERFLOW - LÁM 002 DIAG. LÓGICOS DE CONTROL</t>
  </si>
  <si>
    <r>
      <rPr>
        <sz val="8"/>
        <color rgb="FF1900B8"/>
        <rFont val="Arial"/>
        <family val="2"/>
      </rPr>
      <t>4600022667-001-03350-226AT-00003</t>
    </r>
  </si>
  <si>
    <t>DIAG. LÓGICOS DE CONTROL AGUA DE SELLO
- LÁM 003</t>
  </si>
  <si>
    <r>
      <rPr>
        <sz val="8"/>
        <color rgb="FF1900B8"/>
        <rFont val="Arial"/>
        <family val="2"/>
      </rPr>
      <t>4600022667-001-03350-226AT-00004</t>
    </r>
  </si>
  <si>
    <t>DIAG. LÓGICOS DE CONTROL AGUA DE SELLO
- LÁM 004</t>
  </si>
  <si>
    <r>
      <rPr>
        <sz val="8"/>
        <color rgb="FF1900B8"/>
        <rFont val="Arial"/>
        <family val="2"/>
      </rPr>
      <t>4600022667-001-03350-226AT-00005</t>
    </r>
  </si>
  <si>
    <t>DIAG. LÓGICOS DE CONTROL AGUA DE SELLO
- LÁM 005</t>
  </si>
  <si>
    <r>
      <rPr>
        <sz val="8"/>
        <color rgb="FF1900B8"/>
        <rFont val="Arial"/>
        <family val="2"/>
      </rPr>
      <t>4600022667-001-03350-226AT-00006</t>
    </r>
  </si>
  <si>
    <t>DIAG. LÓGICOS DE CONTROL AGUA DE SELLO
- LÁM 006</t>
  </si>
  <si>
    <r>
      <rPr>
        <sz val="8"/>
        <color rgb="FF1900B8"/>
        <rFont val="Arial"/>
        <family val="2"/>
      </rPr>
      <t>4600022667-001-03350-226AT-00007</t>
    </r>
  </si>
  <si>
    <r>
      <rPr>
        <sz val="8"/>
        <color rgb="FF1900B8"/>
        <rFont val="Arial"/>
        <family val="2"/>
      </rPr>
      <t>4600022667-001-03350-226AT-00008</t>
    </r>
  </si>
  <si>
    <r>
      <rPr>
        <sz val="8"/>
        <color rgb="FF1900B8"/>
        <rFont val="Arial"/>
        <family val="2"/>
      </rPr>
      <t>4600022667-001-03350-226AT-00009</t>
    </r>
  </si>
  <si>
    <r>
      <rPr>
        <sz val="8"/>
        <color rgb="FF1900B8"/>
        <rFont val="Arial"/>
        <family val="2"/>
      </rPr>
      <t>4600022667-001-03350-226AT-00010</t>
    </r>
  </si>
  <si>
    <t>DIAG. LÓGICOS DE CONTROL CONCENTRADO UNDERFLOW - LÁM 010</t>
  </si>
  <si>
    <r>
      <rPr>
        <sz val="8"/>
        <color rgb="FF1900B8"/>
        <rFont val="Arial"/>
        <family val="2"/>
      </rPr>
      <t>4600022667-001-03350-226AT-00011</t>
    </r>
  </si>
  <si>
    <r>
      <rPr>
        <sz val="8"/>
        <color rgb="FF1900B8"/>
        <rFont val="Arial"/>
        <family val="2"/>
      </rPr>
      <t>4600022667-001-03350-226AT-00012</t>
    </r>
  </si>
  <si>
    <r>
      <rPr>
        <sz val="8"/>
        <color rgb="FF1900B8"/>
        <rFont val="Arial"/>
        <family val="2"/>
      </rPr>
      <t>4600022667-001-03350-226AT-00013</t>
    </r>
  </si>
  <si>
    <r>
      <rPr>
        <sz val="8"/>
        <color rgb="FF1900B8"/>
        <rFont val="Arial"/>
        <family val="2"/>
      </rPr>
      <t>4600022667-001-03350-226AT-00014</t>
    </r>
  </si>
  <si>
    <r>
      <rPr>
        <sz val="8"/>
        <color rgb="FF1900B8"/>
        <rFont val="Arial"/>
        <family val="2"/>
      </rPr>
      <t>4600022667-001-03350-226AT-00015</t>
    </r>
  </si>
  <si>
    <r>
      <rPr>
        <sz val="8"/>
        <color rgb="FF1900B8"/>
        <rFont val="Arial"/>
        <family val="2"/>
      </rPr>
      <t>4600022667-001-03350-227AT-00001</t>
    </r>
  </si>
  <si>
    <t>DIAGRAMA DE LAZO 03351-PIT-1050 / PSL-1052
/ FSL-1053 / SV-1054</t>
  </si>
  <si>
    <t>F039-SS01-PL-IN-002</t>
  </si>
  <si>
    <r>
      <rPr>
        <sz val="8"/>
        <color rgb="FF1900B8"/>
        <rFont val="Arial"/>
        <family val="2"/>
      </rPr>
      <t>4600022667-001-03350-227AT-00002</t>
    </r>
  </si>
  <si>
    <t>DIAGRAMA DE LAZO 03351-PIT-1060 / PSL-1062
/ FSL-1063 / SV-1064</t>
  </si>
  <si>
    <t>F039-SS01-PL-IN-003</t>
  </si>
  <si>
    <r>
      <rPr>
        <sz val="8"/>
        <color rgb="FF1900B8"/>
        <rFont val="Arial"/>
        <family val="2"/>
      </rPr>
      <t>4600022667-001-03350-227AT-00003</t>
    </r>
  </si>
  <si>
    <t>DIAGRAMA DE LAZO 03351-PIT-1070 / PSL-1072
/ FSL-1073 / SV-1074</t>
  </si>
  <si>
    <t>F039-SS01-PL-IN-004</t>
  </si>
  <si>
    <r>
      <rPr>
        <sz val="8"/>
        <color rgb="FF1900B8"/>
        <rFont val="Arial"/>
        <family val="2"/>
      </rPr>
      <t>4600022667-001-03350-227AT-00004</t>
    </r>
  </si>
  <si>
    <t>F039-SS01-PL-IN-005</t>
  </si>
  <si>
    <r>
      <rPr>
        <sz val="8"/>
        <color rgb="FF1900B8"/>
        <rFont val="Arial"/>
        <family val="2"/>
      </rPr>
      <t>4600022667-001-03350-227AT-00005</t>
    </r>
  </si>
  <si>
    <t>F039-SS01-PL-IN-006</t>
  </si>
  <si>
    <r>
      <rPr>
        <sz val="8"/>
        <color rgb="FF1900B8"/>
        <rFont val="Arial"/>
        <family val="2"/>
      </rPr>
      <t>4600022667-001-03350-300AR-00001</t>
    </r>
  </si>
  <si>
    <t>DISPOSICIÓN GENERAL - ELEVACIONES Y SECCIONES CASA DE CAMBIO</t>
  </si>
  <si>
    <t>F039-SS01-PL-AR-001</t>
  </si>
  <si>
    <r>
      <rPr>
        <sz val="8"/>
        <color rgb="FF1900B8"/>
        <rFont val="Arial"/>
        <family val="2"/>
      </rPr>
      <t>4600022667-001-03350-300AR-00002</t>
    </r>
  </si>
  <si>
    <t>DISPOSICIÓN GENERAL - ELEVACIONES Y SECCIONES BODEGA DE ALMACENAMIENTO INDUSTRIAL</t>
  </si>
  <si>
    <t>F039-SS01-PL-AR-002</t>
  </si>
  <si>
    <r>
      <rPr>
        <sz val="8"/>
        <color rgb="FF1900B8"/>
        <rFont val="Arial"/>
        <family val="2"/>
      </rPr>
      <t>4600022667-001-03350-300AR-00003</t>
    </r>
  </si>
  <si>
    <t>DISPOSICIÓN GENERAL - ELEVACIONES Y SECCIONES ESTACIÓN DE TRANSFERENCIA DE RESIDUOS</t>
  </si>
  <si>
    <t>F039-SS01-PL-AR-003</t>
  </si>
  <si>
    <r>
      <rPr>
        <sz val="8"/>
        <color rgb="FF1900B8"/>
        <rFont val="Arial"/>
        <family val="2"/>
      </rPr>
      <t>4600022667-001-03350-300AR-00004</t>
    </r>
  </si>
  <si>
    <t>F039-SS01-PL-AR-004</t>
  </si>
  <si>
    <r>
      <rPr>
        <sz val="8"/>
        <color rgb="FF1900B8"/>
        <rFont val="Arial"/>
        <family val="2"/>
      </rPr>
      <t>4600022667-001-03350-300AR-00005</t>
    </r>
  </si>
  <si>
    <t>SANEAMIENTO - PLANTA Y SECCIONES</t>
  </si>
  <si>
    <t>F039-SS01-PL-AR-005</t>
  </si>
  <si>
    <r>
      <rPr>
        <sz val="8"/>
        <color rgb="FF1900B8"/>
        <rFont val="Arial"/>
        <family val="2"/>
      </rPr>
      <t>4600022667-001-03350-302ES-00001</t>
    </r>
  </si>
  <si>
    <t>FOSO DE DERRAMES, ACCESO Y CÁMARAS ELÉCTRICAS - ARMADURAS - PLANTA DISPOSICIÓN (1/5)</t>
  </si>
  <si>
    <r>
      <rPr>
        <sz val="8"/>
        <color rgb="FF1900B8"/>
        <rFont val="Arial"/>
        <family val="2"/>
      </rPr>
      <t>4600022667-001-03350-302ES-00002</t>
    </r>
  </si>
  <si>
    <t>FOSO DE DERRAMES, ACCESO Y CÁMARAS ELÉCTRICAS - ARMADURAS - ELEVACIONES (2/5)</t>
  </si>
  <si>
    <r>
      <rPr>
        <sz val="8"/>
        <color rgb="FF1900B8"/>
        <rFont val="Arial"/>
        <family val="2"/>
      </rPr>
      <t>4600022667-001-03350-302ES-00003</t>
    </r>
  </si>
  <si>
    <r>
      <rPr>
        <sz val="8"/>
        <color rgb="FF1900B8"/>
        <rFont val="Arial"/>
        <family val="2"/>
      </rPr>
      <t>4600022667-001-03350-302ES-00004</t>
    </r>
  </si>
  <si>
    <t>FOSO DE DERRAMES, ACCESO Y CÁMARAS ELÉCTRICAS - ARMADURAS - PLANTA, ELEVACIÓN Y SECCIONES (4/6)</t>
  </si>
  <si>
    <r>
      <rPr>
        <sz val="8"/>
        <color rgb="FF1900B8"/>
        <rFont val="Arial"/>
        <family val="2"/>
      </rPr>
      <t>4600022667-001-03350-302ES-00005</t>
    </r>
  </si>
  <si>
    <t>FOSO DE DERRAMES, ACCESO Y CÁMARAS ELÉCTRICAS - ARMADURAS - PLANTA Y SECCIÓN (5/6)</t>
  </si>
  <si>
    <r>
      <rPr>
        <sz val="8"/>
        <color rgb="FF1900B8"/>
        <rFont val="Arial"/>
        <family val="2"/>
      </rPr>
      <t>4600022667-001-03350-302ES-00006</t>
    </r>
  </si>
  <si>
    <t>FOSO DE DERRAMES, ACCESO Y CÁMARAS ELÉCTRICAS - ARMADURAS - PLANTA Y SECCIÓN (6/6)</t>
  </si>
  <si>
    <r>
      <rPr>
        <sz val="8"/>
        <color rgb="FF1900B8"/>
        <rFont val="Arial"/>
        <family val="2"/>
      </rPr>
      <t>4600022667-001-03350-302ES-00007</t>
    </r>
  </si>
  <si>
    <r>
      <rPr>
        <sz val="8"/>
        <color rgb="FF1900B8"/>
        <rFont val="Arial"/>
        <family val="2"/>
      </rPr>
      <t>4600022667-001-03350-302ES-00008</t>
    </r>
  </si>
  <si>
    <r>
      <rPr>
        <sz val="8"/>
        <color rgb="FF1900B8"/>
        <rFont val="Arial"/>
        <family val="2"/>
      </rPr>
      <t>4600022667-001-03350-302ES-00009</t>
    </r>
  </si>
  <si>
    <r>
      <rPr>
        <sz val="8"/>
        <color rgb="FF1900B8"/>
        <rFont val="Arial"/>
        <family val="2"/>
      </rPr>
      <t>4600022667-001-03350-302ES-00010</t>
    </r>
  </si>
  <si>
    <r>
      <rPr>
        <sz val="8"/>
        <color rgb="FF1900B8"/>
        <rFont val="Arial"/>
        <family val="2"/>
      </rPr>
      <t>4600022667-001-03350-302ES-00011</t>
    </r>
  </si>
  <si>
    <r>
      <rPr>
        <sz val="8"/>
        <color rgb="FF1900B8"/>
        <rFont val="Arial"/>
        <family val="2"/>
      </rPr>
      <t>4600022667-001-03350-302ES-00012</t>
    </r>
  </si>
  <si>
    <r>
      <rPr>
        <sz val="8"/>
        <color rgb="FF1900B8"/>
        <rFont val="Arial"/>
        <family val="2"/>
      </rPr>
      <t>4600022667-001-03350-302ES-00013</t>
    </r>
  </si>
  <si>
    <t>FUNDACIÓN SALA ELÉCTRICA - ARMADURAS - PLANTA, ELEVACIÓN Y SECCIONES</t>
  </si>
  <si>
    <r>
      <rPr>
        <sz val="8"/>
        <color rgb="FF1900B8"/>
        <rFont val="Arial"/>
        <family val="2"/>
      </rPr>
      <t>4600022667-001-03350-302ES-00014</t>
    </r>
  </si>
  <si>
    <t>FUNDACIONES MISCELÁNEAS - ARMADURAS - PLANTAS Y SECCIONES</t>
  </si>
  <si>
    <r>
      <rPr>
        <sz val="8"/>
        <color rgb="FF1900B8"/>
        <rFont val="Arial"/>
        <family val="2"/>
      </rPr>
      <t>4600022667-001-03350-500PR-00001</t>
    </r>
  </si>
  <si>
    <t>ACTUALIZACIÓN ESQUEMA - OPERACIÓN DE LA PLANTA</t>
  </si>
  <si>
    <r>
      <rPr>
        <sz val="8"/>
        <color rgb="FF1900B8"/>
        <rFont val="Arial"/>
        <family val="2"/>
      </rPr>
      <t>4600022667-001-03350-502CA-00001</t>
    </r>
  </si>
  <si>
    <t>ISOMETRICO DE CAÑERIAS 03351-CT-6"-C3- 0005-R3 1 DE 3</t>
  </si>
  <si>
    <r>
      <rPr>
        <sz val="8"/>
        <color rgb="FF1900B8"/>
        <rFont val="Arial"/>
        <family val="2"/>
      </rPr>
      <t>4600022667-001-03350-502CA-00002</t>
    </r>
  </si>
  <si>
    <t>ISOMETRICO DE CAÑERIAS 03351-CT-6"-C3- 0018-R3 1 DE 25</t>
  </si>
  <si>
    <r>
      <rPr>
        <sz val="8"/>
        <color rgb="FF1900B8"/>
        <rFont val="Arial"/>
        <family val="2"/>
      </rPr>
      <t>4600022667-001-03350-502CA-00003</t>
    </r>
  </si>
  <si>
    <t>ISOMETRICO DE CAÑERIAS 03351-CT-6"-C3- 0006-R3 1 DE 3</t>
  </si>
  <si>
    <r>
      <rPr>
        <sz val="8"/>
        <color rgb="FF1900B8"/>
        <rFont val="Arial"/>
        <family val="2"/>
      </rPr>
      <t>4600022667-001-03350-502CA-00004</t>
    </r>
  </si>
  <si>
    <t>ISOMETRICO DE CAÑERIAS 03351-CT-6"-C3- 0021-R3 1 DE 26</t>
  </si>
  <si>
    <r>
      <rPr>
        <sz val="8"/>
        <color rgb="FF1900B8"/>
        <rFont val="Arial"/>
        <family val="2"/>
      </rPr>
      <t>4600022667-001-03350-502CA-00005</t>
    </r>
  </si>
  <si>
    <t>ISOMETRICO DE CAÑERIAS 03351-CT-6"-C3- 0007-R3 1 DE 3</t>
  </si>
  <si>
    <r>
      <rPr>
        <sz val="8"/>
        <color rgb="FF1900B8"/>
        <rFont val="Arial"/>
        <family val="2"/>
      </rPr>
      <t>4600022667-001-03350-502CA-00006</t>
    </r>
  </si>
  <si>
    <t>ISOMÉTRICO DE CAÑERÍAS - 03351-CT-6"- C30023-R3 1 DE 5</t>
  </si>
  <si>
    <r>
      <rPr>
        <sz val="8"/>
        <color rgb="FF1900B8"/>
        <rFont val="Arial"/>
        <family val="2"/>
      </rPr>
      <t>4600022667-001-03350-502CA-00007</t>
    </r>
  </si>
  <si>
    <t>ISOMETRICO DE CAÑERIAS 03351-CT-6"-C3- 0046-R3 1 DE 5</t>
  </si>
  <si>
    <r>
      <rPr>
        <sz val="8"/>
        <color rgb="FF1900B8"/>
        <rFont val="Arial"/>
        <family val="2"/>
      </rPr>
      <t>4600022667-001-03350-502CA-00008</t>
    </r>
  </si>
  <si>
    <t>ISOMETRICO DE CAÑERIAS 03351-CT-6"-C3- 0030-R3 1 DE 1</t>
  </si>
  <si>
    <r>
      <rPr>
        <sz val="8"/>
        <color rgb="FF1900B8"/>
        <rFont val="Arial"/>
        <family val="2"/>
      </rPr>
      <t>4600022667-001-03350-502CA-00009</t>
    </r>
  </si>
  <si>
    <t>ISOMETRICO DE CAÑERIAS 03351-CT-6"-C3- 0050-R3 1 DE 2</t>
  </si>
  <si>
    <r>
      <rPr>
        <sz val="8"/>
        <color rgb="FF1900B8"/>
        <rFont val="Arial"/>
        <family val="2"/>
      </rPr>
      <t>4600022667-001-03350-502CA-00010</t>
    </r>
  </si>
  <si>
    <t>ISOMETRICO DE CAÑERIAS 03351-CT-6"-C11- 0001-N 1 DE 15</t>
  </si>
  <si>
    <r>
      <rPr>
        <sz val="8"/>
        <color rgb="FF1900B8"/>
        <rFont val="Arial"/>
        <family val="2"/>
      </rPr>
      <t>4600022667-001-03350-502CA-00011</t>
    </r>
  </si>
  <si>
    <t>ISOMETRICO DE CAÑERIAS 03351-CT-6"-C2- 0047-N 1 DE 2</t>
  </si>
  <si>
    <r>
      <rPr>
        <sz val="8"/>
        <color rgb="FF1900B8"/>
        <rFont val="Arial"/>
        <family val="2"/>
      </rPr>
      <t>4600022667-001-03350-600CI-00001</t>
    </r>
  </si>
  <si>
    <t>PLANO EVACUACIÓN DE AGUAS LLUVIAS</t>
  </si>
  <si>
    <r>
      <rPr>
        <sz val="8"/>
        <color rgb="FF1900B8"/>
        <rFont val="Arial"/>
        <family val="2"/>
      </rPr>
      <t>4600022667-001-03350-600CI-00006</t>
    </r>
  </si>
  <si>
    <t>DISPOSICIÓN GENERAL PLANTA - INFRAESTRUCTURA NO CRITICA UBICACIÓN DEFINITIVA</t>
  </si>
  <si>
    <t>F039-SS01-PL-CI-023</t>
  </si>
  <si>
    <r>
      <rPr>
        <sz val="8"/>
        <color rgb="FF1900B8"/>
        <rFont val="Arial"/>
        <family val="2"/>
      </rPr>
      <t>4600022667-001-03350-ADDMD-00001</t>
    </r>
  </si>
  <si>
    <t>F039-SS01-ADE-GN-001</t>
  </si>
  <si>
    <r>
      <rPr>
        <sz val="8"/>
        <color rgb="FF1900B8"/>
        <rFont val="Arial"/>
        <family val="2"/>
      </rPr>
      <t>4600022667-001-03350-ADDMD-00002</t>
    </r>
  </si>
  <si>
    <t>F039-SS01-ADE-GN-002</t>
  </si>
  <si>
    <r>
      <rPr>
        <sz val="8"/>
        <color rgb="FF1900B8"/>
        <rFont val="Arial"/>
        <family val="2"/>
      </rPr>
      <t>4600022667-001-03350-ADDMD-00003</t>
    </r>
  </si>
  <si>
    <t>INFORME NCC40 - SEGURIDAD CONTRA INCENDIOS</t>
  </si>
  <si>
    <r>
      <rPr>
        <sz val="8"/>
        <color rgb="FF1900B8"/>
        <rFont val="Arial"/>
        <family val="2"/>
      </rPr>
      <t>4600022667-001-03350-ADDMD-00004</t>
    </r>
  </si>
  <si>
    <t>F039-SS01-ADE-GN-004</t>
  </si>
  <si>
    <r>
      <rPr>
        <sz val="8"/>
        <color rgb="FF1900B8"/>
        <rFont val="Arial"/>
        <family val="2"/>
      </rPr>
      <t>4600022667-001-03350-CRDAT-00001</t>
    </r>
  </si>
  <si>
    <t>F039-SS01-CRT-IN-001</t>
  </si>
  <si>
    <r>
      <rPr>
        <sz val="8"/>
        <color rgb="FF1900B8"/>
        <rFont val="Arial"/>
        <family val="2"/>
      </rPr>
      <t>4600022667-001-03350-CRDCA-00001</t>
    </r>
  </si>
  <si>
    <t>F039-SS01-CRT-PI-001</t>
  </si>
  <si>
    <r>
      <rPr>
        <sz val="8"/>
        <color rgb="FF1900B8"/>
        <rFont val="Arial"/>
        <family val="2"/>
      </rPr>
      <t>4600022667-001-03350-CRDEL-00001</t>
    </r>
  </si>
  <si>
    <t>F039-SS01-CRT-EL-001</t>
  </si>
  <si>
    <r>
      <rPr>
        <sz val="8"/>
        <color rgb="FF1900B8"/>
        <rFont val="Arial"/>
        <family val="2"/>
      </rPr>
      <t>4600022667-001-03350-CRDES-00001</t>
    </r>
  </si>
  <si>
    <t>ADENDA CRITERIO DE DISEÑO CIVIL - ESTRUCTURAL</t>
  </si>
  <si>
    <t>F039-SS01-CRT-SS-001</t>
  </si>
  <si>
    <r>
      <rPr>
        <sz val="8"/>
        <color rgb="FF1900B8"/>
        <rFont val="Arial"/>
        <family val="2"/>
      </rPr>
      <t>4600022667-001-03350-CRDME-00001</t>
    </r>
  </si>
  <si>
    <t>F039-SS01-CRT-ME-001</t>
  </si>
  <si>
    <r>
      <rPr>
        <sz val="8"/>
        <color rgb="FF1900B8"/>
        <rFont val="Arial"/>
        <family val="2"/>
      </rPr>
      <t>4600022667-001-03350-CRDPR-00001</t>
    </r>
  </si>
  <si>
    <t>F039-SS01-CRT-PR-001</t>
  </si>
  <si>
    <r>
      <rPr>
        <sz val="8"/>
        <color rgb="FF1900B8"/>
        <rFont val="Arial"/>
        <family val="2"/>
      </rPr>
      <t>4600022667-001-03350-CUBAT-00001</t>
    </r>
  </si>
  <si>
    <r>
      <rPr>
        <sz val="8"/>
        <color rgb="FF1900B8"/>
        <rFont val="Arial"/>
        <family val="2"/>
      </rPr>
      <t>4600022667-001-03350-CUBCA-00001</t>
    </r>
  </si>
  <si>
    <r>
      <rPr>
        <sz val="8"/>
        <color rgb="FF1900B8"/>
        <rFont val="Arial"/>
        <family val="2"/>
      </rPr>
      <t>4600022667-001-03350-CUBEL-00001</t>
    </r>
  </si>
  <si>
    <r>
      <rPr>
        <sz val="8"/>
        <color rgb="FF1900B8"/>
        <rFont val="Arial"/>
        <family val="2"/>
      </rPr>
      <t>4600022667-001-03350-ESPAR-00001</t>
    </r>
  </si>
  <si>
    <t>ESPECIFICACIONES TÉCNICAS DE ARQUITECTURA SALA DE CAMBIO</t>
  </si>
  <si>
    <t>F039-SS01-ESP-AR-001</t>
  </si>
  <si>
    <r>
      <rPr>
        <sz val="8"/>
        <color rgb="FF1900B8"/>
        <rFont val="Arial"/>
        <family val="2"/>
      </rPr>
      <t>4600022667-001-03350-ESPAR-00002</t>
    </r>
  </si>
  <si>
    <t>ESPECIFICACIONES TÉCNICAS DE ARQUITECTURA ESTACIÓN DE TRANSFERENCIA DE RESIDUOS</t>
  </si>
  <si>
    <t>F039-SS01-ESP-AR-002</t>
  </si>
  <si>
    <r>
      <rPr>
        <sz val="8"/>
        <color rgb="FF1900B8"/>
        <rFont val="Arial"/>
        <family val="2"/>
      </rPr>
      <t>4600022667-001-03350-ESPAR-00003</t>
    </r>
  </si>
  <si>
    <t>ESPECIFICACIONES TÉCNICA DE ARQUITECTURA</t>
  </si>
  <si>
    <t>F039-SS01-ESP-AR-003</t>
  </si>
  <si>
    <r>
      <rPr>
        <sz val="8"/>
        <color rgb="FF1900B8"/>
        <rFont val="Arial"/>
        <family val="2"/>
      </rPr>
      <t>4600022667-001-03350-ESPAT-00001</t>
    </r>
  </si>
  <si>
    <t>F039-SS01-ESP-IN-001</t>
  </si>
  <si>
    <r>
      <rPr>
        <sz val="8"/>
        <color rgb="FF1900B8"/>
        <rFont val="Arial"/>
        <family val="2"/>
      </rPr>
      <t>4600022667-001-03350-ESPAT-00005</t>
    </r>
  </si>
  <si>
    <t>F039-SS01-ESP-IN-005</t>
  </si>
  <si>
    <r>
      <rPr>
        <sz val="8"/>
        <color rgb="FF1900B8"/>
        <rFont val="Arial"/>
        <family val="2"/>
      </rPr>
      <t>4600022667-001-03350-ESPCA-00001</t>
    </r>
  </si>
  <si>
    <t>ESPECIFICACIÓN TÉCNICA  SOLDADURA CAÑERÍAS DE ACERO Y ENSAYOS NO DESTRUCTIVOS</t>
  </si>
  <si>
    <r>
      <rPr>
        <sz val="8"/>
        <color rgb="FF1900B8"/>
        <rFont val="Arial"/>
        <family val="2"/>
      </rPr>
      <t>4600022667-001-03350-ESPCA-00002</t>
    </r>
  </si>
  <si>
    <t>ESPECIFICACIÓN TÉCNICA  SOLDADURA CAÑERÍAS DE HDPE Y ENSAYOS NO DESTRUCTIVOS</t>
  </si>
  <si>
    <r>
      <rPr>
        <sz val="8"/>
        <color rgb="FF1900B8"/>
        <rFont val="Arial"/>
        <family val="2"/>
      </rPr>
      <t>4600022667-001-03350-ESPEL-00001</t>
    </r>
  </si>
  <si>
    <t>INFORME PROYECTO ELÉCTRICO PARA SUMINISTRO DE ENERGÍA</t>
  </si>
  <si>
    <r>
      <rPr>
        <sz val="8"/>
        <color rgb="FF1900B8"/>
        <rFont val="Arial"/>
        <family val="2"/>
      </rPr>
      <t>4600022667-001-03350-ESPEL-00002</t>
    </r>
  </si>
  <si>
    <t>F039-SS01-ESP-EL-002</t>
  </si>
  <si>
    <r>
      <rPr>
        <sz val="8"/>
        <color rgb="FF1900B8"/>
        <rFont val="Arial"/>
        <family val="2"/>
      </rPr>
      <t>4600022667-001-03350-ESPEL-00003</t>
    </r>
  </si>
  <si>
    <t>F039-SS01-ESP-EL-003</t>
  </si>
  <si>
    <r>
      <rPr>
        <sz val="8"/>
        <color rgb="FF1900B8"/>
        <rFont val="Arial"/>
        <family val="2"/>
      </rPr>
      <t>4600022667-001-03350-ESPEL-00004</t>
    </r>
  </si>
  <si>
    <t>F039-SS01-ESP-EL-004</t>
  </si>
  <si>
    <r>
      <rPr>
        <sz val="8"/>
        <color rgb="FF1900B8"/>
        <rFont val="Arial"/>
        <family val="2"/>
      </rPr>
      <t>4600022667-001-03350-ESPEL-00005</t>
    </r>
  </si>
  <si>
    <t>F039-SS01-ESP-EL-005</t>
  </si>
  <si>
    <r>
      <rPr>
        <sz val="8"/>
        <color rgb="FF1900B8"/>
        <rFont val="Arial"/>
        <family val="2"/>
      </rPr>
      <t>4600022667-001-03350-ESPEL-00006</t>
    </r>
  </si>
  <si>
    <t>F039-SS01-ESP-EL-006</t>
  </si>
  <si>
    <r>
      <rPr>
        <sz val="8"/>
        <color rgb="FF1900B8"/>
        <rFont val="Arial"/>
        <family val="2"/>
      </rPr>
      <t>4600022667-001-03350-ESPEL-00007</t>
    </r>
  </si>
  <si>
    <t>F039-SS01-ESP-EL-007</t>
  </si>
  <si>
    <r>
      <rPr>
        <sz val="8"/>
        <color rgb="FF1900B8"/>
        <rFont val="Arial"/>
        <family val="2"/>
      </rPr>
      <t>4600022667-001-03350-ESPES-00001</t>
    </r>
  </si>
  <si>
    <t>F039-SS01-ESP-SS-001</t>
  </si>
  <si>
    <r>
      <rPr>
        <sz val="8"/>
        <color rgb="FF1900B8"/>
        <rFont val="Arial"/>
        <family val="2"/>
      </rPr>
      <t>4600022667-001-03350-ESPES-00002</t>
    </r>
  </si>
  <si>
    <t>F039-SS01-ESP-SS-002</t>
  </si>
  <si>
    <r>
      <rPr>
        <sz val="8"/>
        <color rgb="FF1900B8"/>
        <rFont val="Arial"/>
        <family val="2"/>
      </rPr>
      <t>4600022667-001-03350-ESPME-00001</t>
    </r>
  </si>
  <si>
    <t>F039-SS01-ESP-ME-001</t>
  </si>
  <si>
    <r>
      <rPr>
        <sz val="8"/>
        <color rgb="FF1900B8"/>
        <rFont val="Arial"/>
        <family val="2"/>
      </rPr>
      <t>4600022667-001-03350-ESPME-00002</t>
    </r>
  </si>
  <si>
    <t>F039-SS01-ESP-ME-002</t>
  </si>
  <si>
    <r>
      <rPr>
        <sz val="8"/>
        <color rgb="FF1900B8"/>
        <rFont val="Arial"/>
        <family val="2"/>
      </rPr>
      <t>4600022667-001-03350-ESPME-00003</t>
    </r>
  </si>
  <si>
    <t>F039-SS01-ESP-ME-003</t>
  </si>
  <si>
    <r>
      <rPr>
        <sz val="8"/>
        <color rgb="FF1900B8"/>
        <rFont val="Arial"/>
        <family val="2"/>
      </rPr>
      <t>4600022667-001-03350-ESPME-00004</t>
    </r>
  </si>
  <si>
    <r>
      <rPr>
        <sz val="8"/>
        <color rgb="FF1900B8"/>
        <rFont val="Arial"/>
        <family val="2"/>
      </rPr>
      <t>4600022667-001-03350-ESPME-00005</t>
    </r>
  </si>
  <si>
    <t>F039-SS01-ESP-ME-005</t>
  </si>
  <si>
    <r>
      <rPr>
        <sz val="8"/>
        <color rgb="FF1900B8"/>
        <rFont val="Arial"/>
        <family val="2"/>
      </rPr>
      <t>4600022667-001-03350-ESPME-00006</t>
    </r>
  </si>
  <si>
    <r>
      <rPr>
        <sz val="8"/>
        <color rgb="FF1900B8"/>
        <rFont val="Arial"/>
        <family val="2"/>
      </rPr>
      <t>4600022667-001-03350-ESPME-00007</t>
    </r>
  </si>
  <si>
    <t>F039-SS01-ESP-ME-007</t>
  </si>
  <si>
    <r>
      <rPr>
        <sz val="8"/>
        <color rgb="FF1900B8"/>
        <rFont val="Arial"/>
        <family val="2"/>
      </rPr>
      <t>4600022667-001-03350-HDDAT-00001</t>
    </r>
  </si>
  <si>
    <t>F039 – SS01-DS-IN-002</t>
  </si>
  <si>
    <r>
      <rPr>
        <sz val="8"/>
        <color rgb="FF1900B8"/>
        <rFont val="Arial"/>
        <family val="2"/>
      </rPr>
      <t>4600022667-001-03350-HDDAT-00002</t>
    </r>
  </si>
  <si>
    <t>F039-SS01-DS-IN-001</t>
  </si>
  <si>
    <r>
      <rPr>
        <sz val="8"/>
        <color rgb="FF1900B8"/>
        <rFont val="Arial"/>
        <family val="2"/>
      </rPr>
      <t>4600022667-001-03350-HDDAT-00003</t>
    </r>
  </si>
  <si>
    <t>F039-SS01-DS-IN-003</t>
  </si>
  <si>
    <r>
      <rPr>
        <sz val="8"/>
        <color rgb="FF1900B8"/>
        <rFont val="Arial"/>
        <family val="2"/>
      </rPr>
      <t>4600022667-001-03350-HDDAT-00004</t>
    </r>
  </si>
  <si>
    <t>F039-SS01-DS-IN-004</t>
  </si>
  <si>
    <r>
      <rPr>
        <sz val="8"/>
        <color rgb="FF1900B8"/>
        <rFont val="Arial"/>
        <family val="2"/>
      </rPr>
      <t>4600022667-001-03350-HDDAT-00005</t>
    </r>
  </si>
  <si>
    <t>F039-SS01-DS-IN-005</t>
  </si>
  <si>
    <r>
      <rPr>
        <sz val="8"/>
        <color rgb="FF1900B8"/>
        <rFont val="Arial"/>
        <family val="2"/>
      </rPr>
      <t>4600022667-001-03350-HDDAT-00006</t>
    </r>
  </si>
  <si>
    <t>F039-SS01-DS-IN-006</t>
  </si>
  <si>
    <r>
      <rPr>
        <sz val="8"/>
        <color rgb="FF1900B8"/>
        <rFont val="Arial"/>
        <family val="2"/>
      </rPr>
      <t>4600022667-001-03350-HDDAT-00007</t>
    </r>
  </si>
  <si>
    <t>HOJAS DE DATOS EQUIPOS DE COMUNICACIÓN</t>
  </si>
  <si>
    <t>F039-SS01-DS-IN-007</t>
  </si>
  <si>
    <r>
      <rPr>
        <sz val="8"/>
        <color rgb="FF1900B8"/>
        <rFont val="Arial"/>
        <family val="2"/>
      </rPr>
      <t>4600022667-001-03350-HDDAT-00008</t>
    </r>
  </si>
  <si>
    <r>
      <rPr>
        <sz val="8"/>
        <color rgb="FF1900B8"/>
        <rFont val="Arial"/>
        <family val="2"/>
      </rPr>
      <t>4600022667-001-03350-HDDEL-00001</t>
    </r>
  </si>
  <si>
    <t>F039-SS01-DS-EL-001</t>
  </si>
  <si>
    <r>
      <rPr>
        <sz val="8"/>
        <color rgb="FF1900B8"/>
        <rFont val="Arial"/>
        <family val="2"/>
      </rPr>
      <t>4600022667-001-03350-HDDEL-00002</t>
    </r>
  </si>
  <si>
    <t>F039-SS01-DS-EL-002</t>
  </si>
  <si>
    <r>
      <rPr>
        <sz val="8"/>
        <color rgb="FF1900B8"/>
        <rFont val="Arial"/>
        <family val="2"/>
      </rPr>
      <t>4600022667-001-03350-HDDEL-00003</t>
    </r>
  </si>
  <si>
    <t>HOJA DE DATOS TABLEROS DE FUERZA Y ALUMBRADO</t>
  </si>
  <si>
    <t>F039-SS01-DS-EL-003</t>
  </si>
  <si>
    <r>
      <rPr>
        <sz val="8"/>
        <color rgb="FF1900B8"/>
        <rFont val="Arial"/>
        <family val="2"/>
      </rPr>
      <t>4600022667-001-03350-HDDEL-00004</t>
    </r>
  </si>
  <si>
    <t>F039-SS01-DS-EL-004</t>
  </si>
  <si>
    <r>
      <rPr>
        <sz val="8"/>
        <color rgb="FF1900B8"/>
        <rFont val="Arial"/>
        <family val="2"/>
      </rPr>
      <t>4600022667-001-03350-HDDEL-00005</t>
    </r>
  </si>
  <si>
    <t>F039-DS-SS01-EL-005</t>
  </si>
  <si>
    <r>
      <rPr>
        <sz val="8"/>
        <color rgb="FF1900B8"/>
        <rFont val="Arial"/>
        <family val="2"/>
      </rPr>
      <t>4600022667-001-03350-HDDME-00001</t>
    </r>
  </si>
  <si>
    <t>F039-SS01-DS-ME-001</t>
  </si>
  <si>
    <r>
      <rPr>
        <sz val="8"/>
        <color rgb="FF1900B8"/>
        <rFont val="Arial"/>
        <family val="2"/>
      </rPr>
      <t>4600022667-001-03350-HDDME-00002</t>
    </r>
  </si>
  <si>
    <t>F039-SS01-DS-ME-002</t>
  </si>
  <si>
    <r>
      <rPr>
        <sz val="8"/>
        <color rgb="FF1900B8"/>
        <rFont val="Arial"/>
        <family val="2"/>
      </rPr>
      <t>4600022667-001-03350-HDDME-00003</t>
    </r>
  </si>
  <si>
    <t>F039-SS01-DS-ME-003</t>
  </si>
  <si>
    <r>
      <rPr>
        <sz val="8"/>
        <color rgb="FF1900B8"/>
        <rFont val="Arial"/>
        <family val="2"/>
      </rPr>
      <t>4600022667-001-03350-HDDME-00004</t>
    </r>
  </si>
  <si>
    <t>ACTUALIZACIÓN HOJA DE DATOS VÁLVULAS PARA AGUA</t>
  </si>
  <si>
    <t>F039-SS01-DS-ME-004</t>
  </si>
  <si>
    <r>
      <rPr>
        <sz val="8"/>
        <color rgb="FF1900B8"/>
        <rFont val="Arial"/>
        <family val="2"/>
      </rPr>
      <t>4600022667-001-03350-HDDME-00005</t>
    </r>
  </si>
  <si>
    <t>F039-SS01-DS-ME-005</t>
  </si>
  <si>
    <r>
      <rPr>
        <sz val="8"/>
        <color rgb="FF1900B8"/>
        <rFont val="Arial"/>
        <family val="2"/>
      </rPr>
      <t>4600022667-001-03350-HDDME-00006</t>
    </r>
  </si>
  <si>
    <t>F039-SS01-DS-ME-006</t>
  </si>
  <si>
    <r>
      <rPr>
        <sz val="8"/>
        <color rgb="FF1900B8"/>
        <rFont val="Arial"/>
        <family val="2"/>
      </rPr>
      <t>4600022667-001-03350-HDDME-00007</t>
    </r>
  </si>
  <si>
    <t>F039-SS01-DS-ME-007</t>
  </si>
  <si>
    <r>
      <rPr>
        <sz val="8"/>
        <color rgb="FF1900B8"/>
        <rFont val="Arial"/>
        <family val="2"/>
      </rPr>
      <t>4600022667-001-03350-INFAT-00001</t>
    </r>
  </si>
  <si>
    <t>F039 – SS01-INF-IN-001</t>
  </si>
  <si>
    <r>
      <rPr>
        <sz val="8"/>
        <color rgb="FF1900B8"/>
        <rFont val="Arial"/>
        <family val="2"/>
      </rPr>
      <t>4600022667-001-03350-INFAT-00002</t>
    </r>
  </si>
  <si>
    <t>FILOSOFÍA DE OPERACIÓN</t>
  </si>
  <si>
    <r>
      <rPr>
        <sz val="8"/>
        <color rgb="FF1900B8"/>
        <rFont val="Arial"/>
        <family val="2"/>
      </rPr>
      <t>4600022667-001-03350-INFCB-00001</t>
    </r>
  </si>
  <si>
    <t>F039-SS01-INF-CT-001</t>
  </si>
  <si>
    <r>
      <rPr>
        <sz val="8"/>
        <color rgb="FF1900B8"/>
        <rFont val="Arial"/>
        <family val="2"/>
      </rPr>
      <t>4600022667-001-03350-INFCI-00001</t>
    </r>
  </si>
  <si>
    <t>F039-SS01-INF-CI-001</t>
  </si>
  <si>
    <r>
      <rPr>
        <sz val="8"/>
        <color rgb="FF1900B8"/>
        <rFont val="Arial"/>
        <family val="2"/>
      </rPr>
      <t>4600022667-001-03350-INFEL-00001</t>
    </r>
  </si>
  <si>
    <t>F039-SS01-INF-EL-001</t>
  </si>
  <si>
    <r>
      <rPr>
        <sz val="8"/>
        <color rgb="FF1900B8"/>
        <rFont val="Arial"/>
        <family val="2"/>
      </rPr>
      <t>4600022667-001-03350-INFIT-00001</t>
    </r>
  </si>
  <si>
    <t>F039-SS01-INF-MO-001</t>
  </si>
  <si>
    <r>
      <rPr>
        <sz val="8"/>
        <color rgb="FF1900B8"/>
        <rFont val="Arial"/>
        <family val="2"/>
      </rPr>
      <t>4600022667-001-03350-INFMD-00001</t>
    </r>
  </si>
  <si>
    <r>
      <rPr>
        <sz val="8"/>
        <color rgb="FF1900B8"/>
        <rFont val="Arial"/>
        <family val="2"/>
      </rPr>
      <t>4600022667-001-03350-INFMD-00002</t>
    </r>
  </si>
  <si>
    <r>
      <rPr>
        <sz val="8"/>
        <color rgb="FF1900B8"/>
        <rFont val="Arial"/>
        <family val="2"/>
      </rPr>
      <t>4600022667-001-03350-INFMD-00003</t>
    </r>
  </si>
  <si>
    <t>ACTUALIZACIÓN INFORME TALLER CONSTRUCTIBILIDAD (INCLUYE TALLER)</t>
  </si>
  <si>
    <r>
      <rPr>
        <sz val="8"/>
        <color rgb="FF1900B8"/>
        <rFont val="Arial"/>
        <family val="2"/>
      </rPr>
      <t>4600022667-001-03350-INFME-00001</t>
    </r>
  </si>
  <si>
    <t>ANÁLISIS DE SENSIBILIDAD CONCENTRACIÓN DE SÓLIDOS DEL CONCENTRADUCTO</t>
  </si>
  <si>
    <t>F039-SS01-INF-ME-001</t>
  </si>
  <si>
    <r>
      <rPr>
        <sz val="8"/>
        <color rgb="FF1900B8"/>
        <rFont val="Arial"/>
        <family val="2"/>
      </rPr>
      <t>4600022667-001-03350-INFPR-00001</t>
    </r>
  </si>
  <si>
    <t>F039-SS01-INF-PR-001</t>
  </si>
  <si>
    <r>
      <rPr>
        <sz val="8"/>
        <color rgb="FF1900B8"/>
        <rFont val="Arial"/>
        <family val="2"/>
      </rPr>
      <t>4600022667-001-03350-LSTAT-00001</t>
    </r>
  </si>
  <si>
    <r>
      <rPr>
        <sz val="8"/>
        <color rgb="FF1900B8"/>
        <rFont val="Arial"/>
        <family val="2"/>
      </rPr>
      <t>4600022667-001-03350-LSTAT-00002</t>
    </r>
  </si>
  <si>
    <t>F039-SS01-LIS-IN-002</t>
  </si>
  <si>
    <r>
      <rPr>
        <sz val="8"/>
        <color rgb="FF1900B8"/>
        <rFont val="Arial"/>
        <family val="2"/>
      </rPr>
      <t>4600022667-001-03350-LSTAT-00003</t>
    </r>
  </si>
  <si>
    <t>F039-SS01-LIS-IN-003</t>
  </si>
  <si>
    <r>
      <rPr>
        <sz val="8"/>
        <color rgb="FF1900B8"/>
        <rFont val="Arial"/>
        <family val="2"/>
      </rPr>
      <t>4600022667-001-03350-LSTAT-00005</t>
    </r>
  </si>
  <si>
    <t>F039-SS01-LIS-IN-005</t>
  </si>
  <si>
    <r>
      <rPr>
        <sz val="8"/>
        <color rgb="FF1900B8"/>
        <rFont val="Arial"/>
        <family val="2"/>
      </rPr>
      <t>4600022667-001-03350-LSTEL-00001</t>
    </r>
  </si>
  <si>
    <t>F039-SS01-LIS-EL-001</t>
  </si>
  <si>
    <r>
      <rPr>
        <sz val="8"/>
        <color rgb="FF1900B8"/>
        <rFont val="Arial"/>
        <family val="2"/>
      </rPr>
      <t>4600022667-001-03350-LSTEL-00002</t>
    </r>
  </si>
  <si>
    <t>F039-SS01-LIS-EL-002</t>
  </si>
  <si>
    <r>
      <rPr>
        <sz val="8"/>
        <color rgb="FF1900B8"/>
        <rFont val="Arial"/>
        <family val="2"/>
      </rPr>
      <t>4600022667-001-03350-LSTME-00001</t>
    </r>
  </si>
  <si>
    <r>
      <rPr>
        <sz val="8"/>
        <color rgb="FF1900B8"/>
        <rFont val="Arial"/>
        <family val="2"/>
      </rPr>
      <t>4600022667-001-03350-LSTME-00002</t>
    </r>
  </si>
  <si>
    <t>F039-SS01-LIS-ME-002</t>
  </si>
  <si>
    <r>
      <rPr>
        <sz val="8"/>
        <color rgb="FF1900B8"/>
        <rFont val="Arial"/>
        <family val="2"/>
      </rPr>
      <t>4600022667-001-03350-LSTME-00003</t>
    </r>
  </si>
  <si>
    <r>
      <rPr>
        <sz val="8"/>
        <color rgb="FF1900B8"/>
        <rFont val="Arial"/>
        <family val="2"/>
      </rPr>
      <t>4600022667-001-03350-MDCCA-00001</t>
    </r>
  </si>
  <si>
    <t>F039-SS01-MEM-PI-001</t>
  </si>
  <si>
    <r>
      <rPr>
        <sz val="8"/>
        <color rgb="FF1900B8"/>
        <rFont val="Arial"/>
        <family val="2"/>
      </rPr>
      <t>4600022667-001-03350-MDCCA-00002</t>
    </r>
  </si>
  <si>
    <t>MEMORIA DE CÁLCULO LÍNEAS DE CONCENTRADO  COLECTIVO Y COLAS DE 1° LIMPIEZA</t>
  </si>
  <si>
    <t>F039-SS01-MEM-PI-002</t>
  </si>
  <si>
    <r>
      <rPr>
        <sz val="8"/>
        <color rgb="FF1900B8"/>
        <rFont val="Arial"/>
        <family val="2"/>
      </rPr>
      <t>4600022667-001-03350-MDCCI-00001</t>
    </r>
  </si>
  <si>
    <t>INFORME DE CUBICACIONES CIVIL.</t>
  </si>
  <si>
    <t>F039-SS01-MEM-CI-001</t>
  </si>
  <si>
    <r>
      <rPr>
        <sz val="8"/>
        <color rgb="FF1900B8"/>
        <rFont val="Arial"/>
        <family val="2"/>
      </rPr>
      <t>4600022667-001-03350-MDCCI-00002</t>
    </r>
  </si>
  <si>
    <r>
      <rPr>
        <sz val="8"/>
        <color rgb="FF1900B8"/>
        <rFont val="Arial"/>
        <family val="2"/>
      </rPr>
      <t>4600022667-001-03350-MDCEL-00001</t>
    </r>
  </si>
  <si>
    <t>MEMORIA DE CÁLCULO DEMANDA ELÉCTRICA</t>
  </si>
  <si>
    <t>F039-SS01-MEM-EL-001</t>
  </si>
  <si>
    <r>
      <rPr>
        <sz val="8"/>
        <color rgb="FF1900B8"/>
        <rFont val="Arial"/>
        <family val="2"/>
      </rPr>
      <t>4600022667-001-03350-MDCEL-00002</t>
    </r>
  </si>
  <si>
    <t>F039-SS01-MEM-EL-002</t>
  </si>
  <si>
    <r>
      <rPr>
        <sz val="8"/>
        <color rgb="FF1900B8"/>
        <rFont val="Arial"/>
        <family val="2"/>
      </rPr>
      <t>4600022667-001-03350-MDCEL-00004</t>
    </r>
  </si>
  <si>
    <t>F039-SS01-MEM-EL-004</t>
  </si>
  <si>
    <r>
      <rPr>
        <sz val="8"/>
        <color rgb="FF1900B8"/>
        <rFont val="Arial"/>
        <family val="2"/>
      </rPr>
      <t>4600022667-001-03350-MDCEL-00005</t>
    </r>
  </si>
  <si>
    <t>MEMORIA DE CÁLCULO CONDUCTORES ALIMENTADORES SALA DE CAMBIO</t>
  </si>
  <si>
    <r>
      <rPr>
        <sz val="8"/>
        <color rgb="FF1900B8"/>
        <rFont val="Arial"/>
        <family val="2"/>
      </rPr>
      <t>4600022667-001-03350-MDCEL-00007</t>
    </r>
  </si>
  <si>
    <r>
      <rPr>
        <sz val="8"/>
        <color rgb="FF1900B8"/>
        <rFont val="Arial"/>
        <family val="2"/>
      </rPr>
      <t>4600022667-001-03350-MDCEL-00009</t>
    </r>
  </si>
  <si>
    <t>MEMORIA DE CÁLCULO CONDUCTORES ALIMENTADORES ESTACIÓN DE TRANSFERENCIA DE RESIDUOS – UBICACIÓN DEFINITIVA</t>
  </si>
  <si>
    <r>
      <rPr>
        <sz val="8"/>
        <color rgb="FF1900B8"/>
        <rFont val="Arial"/>
        <family val="2"/>
      </rPr>
      <t>4600022667-001-03350-MDCEL-00013</t>
    </r>
  </si>
  <si>
    <t>MEMORIA DE CÁLCULO CONDUCTORES ALIMENTADORES ESTACIÓN DE TRANSFERENCIA DE RESIDUOS – UBICACIÓN TRANSITORIA</t>
  </si>
  <si>
    <r>
      <rPr>
        <sz val="8"/>
        <color rgb="FF1900B8"/>
        <rFont val="Arial"/>
        <family val="2"/>
      </rPr>
      <t>4600022667-001-03350-MDCEL-00017</t>
    </r>
  </si>
  <si>
    <t>F039-SS01-MEM-EL-017</t>
  </si>
  <si>
    <r>
      <rPr>
        <sz val="8"/>
        <color rgb="FF1900B8"/>
        <rFont val="Arial"/>
        <family val="2"/>
      </rPr>
      <t>4600022667-001-03350-MDCEL-00019</t>
    </r>
  </si>
  <si>
    <t>MEMORIA DE CÁLCULO  CONDUCTORES EN BAJA TENSIÓN</t>
  </si>
  <si>
    <r>
      <rPr>
        <sz val="8"/>
        <color rgb="FF1900B8"/>
        <rFont val="Arial"/>
        <family val="2"/>
      </rPr>
      <t>4600022667-001-03350-MDCEL-00020</t>
    </r>
  </si>
  <si>
    <t>F039-SS01-MEM-EL-020</t>
  </si>
  <si>
    <r>
      <rPr>
        <sz val="8"/>
        <color rgb="FF1900B8"/>
        <rFont val="Arial"/>
        <family val="2"/>
      </rPr>
      <t>4600022667-001-03350-MDCEL-00023</t>
    </r>
  </si>
  <si>
    <t>F039-SS01-MEM-EL-023</t>
  </si>
  <si>
    <r>
      <rPr>
        <sz val="8"/>
        <color rgb="FF1900B8"/>
        <rFont val="Arial"/>
        <family val="2"/>
      </rPr>
      <t>4600022667-001-03350-MDCEL-00024</t>
    </r>
  </si>
  <si>
    <t>F039-SS01-MEM-EL-024</t>
  </si>
  <si>
    <r>
      <rPr>
        <sz val="8"/>
        <color rgb="FF1900B8"/>
        <rFont val="Arial"/>
        <family val="2"/>
      </rPr>
      <t>4600022667-001-03350-MDCEL-00025</t>
    </r>
  </si>
  <si>
    <t>MEMORIA DE CÁLCULO MALLA A TIERRA EDIFICIOS INFRAESTRUCTURA NO CRÍTICA</t>
  </si>
  <si>
    <r>
      <rPr>
        <sz val="8"/>
        <color rgb="FF1900B8"/>
        <rFont val="Arial"/>
        <family val="2"/>
      </rPr>
      <t>4600022667-001-03350-MDCES-00001</t>
    </r>
  </si>
  <si>
    <r>
      <rPr>
        <sz val="8"/>
        <color rgb="FF1900B8"/>
        <rFont val="Arial"/>
        <family val="2"/>
      </rPr>
      <t>4600022667-001-03350-MDCES-00002</t>
    </r>
  </si>
  <si>
    <t>F039-SS01-MEM-SS- 002</t>
  </si>
  <si>
    <r>
      <rPr>
        <sz val="8"/>
        <color rgb="FF1900B8"/>
        <rFont val="Arial"/>
        <family val="2"/>
      </rPr>
      <t>4600022667-001-03350-MDCES-00003</t>
    </r>
  </si>
  <si>
    <t>F039-SS01-MEM-SS- 003</t>
  </si>
  <si>
    <r>
      <rPr>
        <sz val="8"/>
        <color rgb="FF1900B8"/>
        <rFont val="Arial"/>
        <family val="2"/>
      </rPr>
      <t>4600022667-001-03350-MDCES-00004</t>
    </r>
  </si>
  <si>
    <t>F039-SS01-MEM-SS- 004</t>
  </si>
  <si>
    <r>
      <rPr>
        <sz val="8"/>
        <color rgb="FF1900B8"/>
        <rFont val="Arial"/>
        <family val="2"/>
      </rPr>
      <t>4600022667-001-03350-MDCES-00005</t>
    </r>
  </si>
  <si>
    <t>F039-SS01-MEM-SS- 005</t>
  </si>
  <si>
    <r>
      <rPr>
        <sz val="8"/>
        <color rgb="FF1900B8"/>
        <rFont val="Arial"/>
        <family val="2"/>
      </rPr>
      <t>4600022667-001-03350-MDCES-00006</t>
    </r>
  </si>
  <si>
    <t>F039-SS01-MEM-SS- 006</t>
  </si>
  <si>
    <r>
      <rPr>
        <sz val="8"/>
        <color rgb="FF1900B8"/>
        <rFont val="Arial"/>
        <family val="2"/>
      </rPr>
      <t>4600022667-001-03350-MDCES-00007</t>
    </r>
  </si>
  <si>
    <t>F039-SS01-MEM-SS- 007</t>
  </si>
  <si>
    <r>
      <rPr>
        <sz val="8"/>
        <color rgb="FF1900B8"/>
        <rFont val="Arial"/>
        <family val="2"/>
      </rPr>
      <t>4600022667-001-03350-MDCHD-00001</t>
    </r>
  </si>
  <si>
    <t>F039-SS01-MEM-PH- 001</t>
  </si>
  <si>
    <r>
      <rPr>
        <sz val="8"/>
        <color rgb="FF1900B8"/>
        <rFont val="Arial"/>
        <family val="2"/>
      </rPr>
      <t>4600022667-001-03350-MDCHD-00002</t>
    </r>
  </si>
  <si>
    <t>F039-SS01-MEM-PH- 002</t>
  </si>
  <si>
    <r>
      <rPr>
        <sz val="8"/>
        <color rgb="FF1900B8"/>
        <rFont val="Arial"/>
        <family val="2"/>
      </rPr>
      <t>4600022667-001-03350-MDCME-00002</t>
    </r>
  </si>
  <si>
    <r>
      <rPr>
        <sz val="8"/>
        <color rgb="FF1900B8"/>
        <rFont val="Arial"/>
        <family val="2"/>
      </rPr>
      <t>4600022667-001-03350-MDCME-00004</t>
    </r>
  </si>
  <si>
    <t>F039-SS01-MEM-ME- 004</t>
  </si>
  <si>
    <r>
      <rPr>
        <sz val="8"/>
        <color rgb="FF1900B8"/>
        <rFont val="Arial"/>
        <family val="2"/>
      </rPr>
      <t>4600022667-001-03350-MDCME-00005</t>
    </r>
  </si>
  <si>
    <t>F039-SS01-MEM-ME- 005</t>
  </si>
  <si>
    <r>
      <rPr>
        <sz val="8"/>
        <color rgb="FF1900B8"/>
        <rFont val="Arial"/>
        <family val="2"/>
      </rPr>
      <t>4600022667-001-03350-MDCPR-00001</t>
    </r>
  </si>
  <si>
    <t>F039-SS01-MEM-PR- 001</t>
  </si>
  <si>
    <r>
      <rPr>
        <sz val="8"/>
        <color rgb="FF1900B8"/>
        <rFont val="Arial"/>
        <family val="2"/>
      </rPr>
      <t>4600022667-001-03350-MEMMD-00002</t>
    </r>
  </si>
  <si>
    <t>F039-SS01-MT-002</t>
  </si>
  <si>
    <r>
      <rPr>
        <sz val="8"/>
        <color rgb="FF1900B8"/>
        <rFont val="Arial"/>
        <family val="2"/>
      </rPr>
      <t>4600022667-001-03350-MEMMD-00003</t>
    </r>
  </si>
  <si>
    <t>F039-SS01-MT-003</t>
  </si>
  <si>
    <r>
      <rPr>
        <sz val="8"/>
        <color rgb="FF1900B8"/>
        <rFont val="Arial"/>
        <family val="2"/>
      </rPr>
      <t>4600022667-001-03350-MEMMD-00004</t>
    </r>
  </si>
  <si>
    <t>F039-SS01-MT-004</t>
  </si>
  <si>
    <r>
      <rPr>
        <sz val="8"/>
        <color rgb="FF1900B8"/>
        <rFont val="Arial"/>
        <family val="2"/>
      </rPr>
      <t>4600022667-001-03350-MEMMD-00005</t>
    </r>
  </si>
  <si>
    <t>F039-SS01-MT-005</t>
  </si>
  <si>
    <r>
      <rPr>
        <sz val="8"/>
        <color rgb="FF1900B8"/>
        <rFont val="Arial"/>
        <family val="2"/>
      </rPr>
      <t>4600022667-001-03350-MEMMD-00006</t>
    </r>
  </si>
  <si>
    <t>F039-SS01-MT-006</t>
  </si>
  <si>
    <r>
      <rPr>
        <sz val="8"/>
        <color rgb="FF1900B8"/>
        <rFont val="Arial"/>
        <family val="2"/>
      </rPr>
      <t>4600022667-001-03350-MEMMD-00007</t>
    </r>
  </si>
  <si>
    <t>F039-SS01-MT-007</t>
  </si>
  <si>
    <r>
      <rPr>
        <sz val="8"/>
        <color rgb="FF1900B8"/>
        <rFont val="Arial"/>
        <family val="2"/>
      </rPr>
      <t>4600022667-001-03350-MEMMD-00010</t>
    </r>
  </si>
  <si>
    <t>F039-SS01-MT-010</t>
  </si>
  <si>
    <r>
      <rPr>
        <sz val="8"/>
        <color rgb="FF1900B8"/>
        <rFont val="Arial"/>
        <family val="2"/>
      </rPr>
      <t>4600022667-001-03350-MNLMD-00001</t>
    </r>
  </si>
  <si>
    <r>
      <rPr>
        <sz val="8"/>
        <color rgb="FF1900B8"/>
        <rFont val="Arial"/>
        <family val="2"/>
      </rPr>
      <t>4600022667-001-03350-PLNMD-00003</t>
    </r>
  </si>
  <si>
    <t>PLAN DE EMERGENCIA Y PROCEDIMIENTO DE DRENAJE DEL ESPESADOR</t>
  </si>
  <si>
    <r>
      <rPr>
        <sz val="8"/>
        <color rgb="FF1900B8"/>
        <rFont val="Arial"/>
        <family val="2"/>
      </rPr>
      <t>4600022667-097-03350-100CA-00001</t>
    </r>
  </si>
  <si>
    <t>DISPOSICIÓN GENERAL PLANTA - BOMBAS ESPESADOR DE CABEZA</t>
  </si>
  <si>
    <r>
      <rPr>
        <sz val="8"/>
        <color rgb="FF1900B8"/>
        <rFont val="Arial"/>
        <family val="2"/>
      </rPr>
      <t>4600022667-097-03350-100CA-00002</t>
    </r>
  </si>
  <si>
    <t>DISPOSICIÓN GENERAL SECCIONES - BOMBAS ESPESADOR DE CABEZA</t>
  </si>
  <si>
    <r>
      <rPr>
        <sz val="8"/>
        <color rgb="FF1900B8"/>
        <rFont val="Arial"/>
        <family val="2"/>
      </rPr>
      <t>4600022667-097-03350-101CA-00001</t>
    </r>
  </si>
  <si>
    <t>BOMBAS ESPESADOR CABEZA DISPOSICIÓN CAÑERÍAS - PLANTA</t>
  </si>
  <si>
    <r>
      <rPr>
        <sz val="8"/>
        <color rgb="FF1900B8"/>
        <rFont val="Arial"/>
        <family val="2"/>
      </rPr>
      <t>4600022667-097-03350-202EL-00001</t>
    </r>
  </si>
  <si>
    <t>ACTUALIZACIÓN DIAGRAMA UNILINEAL CENTRO CONTROL DE MOTORES 4220-CCM- 001</t>
  </si>
  <si>
    <r>
      <rPr>
        <sz val="8"/>
        <color rgb="FF1900B8"/>
        <rFont val="Arial"/>
        <family val="2"/>
      </rPr>
      <t>4600022667-097-03350-202EL-00003</t>
    </r>
  </si>
  <si>
    <t>ACTUALIZACIÓN DIAGRAMA UNILINEAL CENTRO CONTROL DE MOTORES 03350-CCM- 001</t>
  </si>
  <si>
    <r>
      <rPr>
        <sz val="8"/>
        <color rgb="FF1900B8"/>
        <rFont val="Arial"/>
        <family val="2"/>
      </rPr>
      <t>4600022667-097-03350-202EL-00004</t>
    </r>
  </si>
  <si>
    <t>ACTUALIZACIÓN DIAGRAMA UNILINEAL - TABLERO DE FUERZA Y ALUMBRADO 03350- TDFYA-001</t>
  </si>
  <si>
    <r>
      <rPr>
        <sz val="8"/>
        <color rgb="FF1900B8"/>
        <rFont val="Arial"/>
        <family val="2"/>
      </rPr>
      <t>4600022667-097-03350-202ES-00003</t>
    </r>
  </si>
  <si>
    <t>FUNDACION SALA ELÉCTRICA FORMAS - PLANTA, SECCIÓN Y DETALLES</t>
  </si>
  <si>
    <r>
      <rPr>
        <sz val="8"/>
        <color rgb="FF1900B8"/>
        <rFont val="Arial"/>
        <family val="2"/>
      </rPr>
      <t>4600022667-097-03350-202ES-00004</t>
    </r>
  </si>
  <si>
    <t>FOSO DE DERRAMES, FUNDACIONES BOMBAS FORMAS - PLANTA</t>
  </si>
  <si>
    <r>
      <rPr>
        <sz val="8"/>
        <color rgb="FF1900B8"/>
        <rFont val="Arial"/>
        <family val="2"/>
      </rPr>
      <t>4600022667-097-03350-205ES-00005</t>
    </r>
  </si>
  <si>
    <t>ESTRUCTURAS SOPORTE PIPING Y VÁLVULAS PLANTAS Y SECCIONES (1/2)</t>
  </si>
  <si>
    <r>
      <rPr>
        <sz val="8"/>
        <color rgb="FF1900B8"/>
        <rFont val="Arial"/>
        <family val="2"/>
      </rPr>
      <t>4600022667-097-03350-205ES-00006</t>
    </r>
  </si>
  <si>
    <r>
      <rPr>
        <sz val="8"/>
        <color rgb="FF1900B8"/>
        <rFont val="Arial"/>
        <family val="2"/>
      </rPr>
      <t>4600022667-097-03350-209EL-00001</t>
    </r>
  </si>
  <si>
    <t>CABLEADO Y CONEXIONADO INTERNO MOTOR BOMBA CENTRIFUGA DESCARGA UNDERFLOW N°1 - 03351-BOC-001M</t>
  </si>
  <si>
    <r>
      <rPr>
        <sz val="8"/>
        <color rgb="FF1900B8"/>
        <rFont val="Arial"/>
        <family val="2"/>
      </rPr>
      <t>4600022667-097-03350-209EL-00002</t>
    </r>
  </si>
  <si>
    <t>CABLEADO Y CONEXIONADO INTERNO MOTOR BOMBA CENTRIFUGA DESCARGA UNDERFLOW N°2 - 03351-BOC-002M</t>
  </si>
  <si>
    <r>
      <rPr>
        <sz val="8"/>
        <color rgb="FF1900B8"/>
        <rFont val="Arial"/>
        <family val="2"/>
      </rPr>
      <t>4600022667-097-03350-209EL-00003</t>
    </r>
  </si>
  <si>
    <t>CABLEADO Y CONEXIONADO INTERNO MOTOR BOMBA CENTRIFUGA DESCARGA UNDERFLOW N°3 - 03351-BOC-003M (STAND- BY)</t>
  </si>
  <si>
    <r>
      <rPr>
        <sz val="8"/>
        <color rgb="FF1900B8"/>
        <rFont val="Arial"/>
        <family val="2"/>
      </rPr>
      <t>4600022667-097-03350-210EL-00001</t>
    </r>
  </si>
  <si>
    <t>ELEMENTAL DE CONTROL MOTOR BOMBA CENTRIFUGA DESCARGA UNDERFLOW N°1 - 03351-BOC-001M</t>
  </si>
  <si>
    <r>
      <rPr>
        <sz val="8"/>
        <color rgb="FF1900B8"/>
        <rFont val="Arial"/>
        <family val="2"/>
      </rPr>
      <t>4600022667-097-03350-210EL-00002</t>
    </r>
  </si>
  <si>
    <t>ELEMENTAL DE CONTROL MOTOR BOMBA CENTRIFUGA DESCARGA UNDERFLOW N°2 - 03351-BOC-002M</t>
  </si>
  <si>
    <r>
      <rPr>
        <sz val="8"/>
        <color rgb="FF1900B8"/>
        <rFont val="Arial"/>
        <family val="2"/>
      </rPr>
      <t>4600022667-097-03350-210EL-00003</t>
    </r>
  </si>
  <si>
    <t>ELEMENTAL DE CONTROL MOTOR BOMBA CENTRIFUGA DESCARGA UNDERFLOW N°3 - 03351-BOC-003M (STAND-BY)</t>
  </si>
  <si>
    <r>
      <rPr>
        <sz val="8"/>
        <color rgb="FF1900B8"/>
        <rFont val="Arial"/>
        <family val="2"/>
      </rPr>
      <t>4600022667-097-03350-302ES-00003</t>
    </r>
  </si>
  <si>
    <t>FUNDACION SALA ELÉCTRICA ARMADURAS - PLANTA, SECCIÓN Y DETALLES</t>
  </si>
  <si>
    <r>
      <rPr>
        <sz val="8"/>
        <color rgb="FF1900B8"/>
        <rFont val="Arial"/>
        <family val="2"/>
      </rPr>
      <t>4600022667-097-03350-302ES-00004</t>
    </r>
  </si>
  <si>
    <t>FOSO DE DERRAMES, FUNDACIONES BOMBAS ARMADURAS - ELEVACIÓN, SECCIÓN</t>
  </si>
  <si>
    <r>
      <rPr>
        <sz val="8"/>
        <color rgb="FF1900B8"/>
        <rFont val="Arial"/>
        <family val="2"/>
      </rPr>
      <t>4600022667-097-03350-ESTEL-00001</t>
    </r>
  </si>
  <si>
    <t>ACTUALIZACIÓN ESTUDIO DE POTENCIA - ESPESADOR DE CABEZA</t>
  </si>
  <si>
    <r>
      <rPr>
        <sz val="8"/>
        <color rgb="FF1900B8"/>
        <rFont val="Arial"/>
        <family val="2"/>
      </rPr>
      <t>4600022667-097-03350-MDCES-00003</t>
    </r>
  </si>
  <si>
    <t>MEMORIA DE CÁLCULO – FUNDACIÓN BOMBAS ESPESADOR COLECTIVO</t>
  </si>
  <si>
    <r>
      <rPr>
        <sz val="8"/>
        <color rgb="FF1900B8"/>
        <rFont val="Arial"/>
        <family val="2"/>
      </rPr>
      <t>4600022667-097-03350-MDCES-00004</t>
    </r>
  </si>
  <si>
    <t>MEMORIA DE CÁLCULO – CARGAS SÍSMICAS ESPESADORES DELKOR E INTERMEDIO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</si>
</sst>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/mmm/yy;@"/>
  </numFmts>
  <fonts count="18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10"/>
      <name val="MS Sans Serif"/>
      <family val="2"/>
    </font>
    <font>
      <b/>
      <sz val="10"/>
      <color theme="0"/>
      <name val="Arial"/>
      <family val="2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name val="Arial"/>
      <family val="2"/>
    </font>
    <font>
      <sz val="10"/>
      <color rgb="FF000000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10"/>
      <color rgb="FFFFFFFF"/>
      <name val="Arial"/>
      <family val="2"/>
    </font>
    <font>
      <sz val="8"/>
      <color rgb="FF1900B8"/>
      <name val="Arial"/>
      <family val="2"/>
    </font>
    <font>
      <sz val="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55201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164" fontId="4" fillId="0" borderId="0"/>
    <xf numFmtId="0" fontId="1" fillId="0" borderId="0"/>
    <xf numFmtId="0" fontId="11" fillId="0" borderId="0"/>
  </cellStyleXfs>
  <cellXfs count="78">
    <xf numFmtId="0" fontId="0" fillId="0" borderId="0" xfId="0"/>
    <xf numFmtId="164" fontId="3" fillId="3" borderId="2" xfId="1" applyFont="1" applyFill="1" applyBorder="1" applyAlignment="1">
      <alignment horizontal="left" vertical="center" wrapText="1"/>
    </xf>
    <xf numFmtId="164" fontId="2" fillId="4" borderId="2" xfId="1" applyFont="1" applyFill="1" applyBorder="1" applyAlignment="1">
      <alignment horizontal="left" vertical="center" wrapText="1"/>
    </xf>
    <xf numFmtId="0" fontId="7" fillId="6" borderId="7" xfId="2" applyFont="1" applyFill="1" applyBorder="1" applyAlignment="1">
      <alignment vertical="center"/>
    </xf>
    <xf numFmtId="0" fontId="7" fillId="6" borderId="0" xfId="2" applyFont="1" applyFill="1" applyAlignment="1">
      <alignment vertical="center"/>
    </xf>
    <xf numFmtId="0" fontId="5" fillId="5" borderId="5" xfId="2" applyFont="1" applyFill="1" applyBorder="1" applyAlignment="1">
      <alignment horizontal="center" vertical="top" wrapText="1"/>
    </xf>
    <xf numFmtId="0" fontId="5" fillId="5" borderId="3" xfId="2" applyFont="1" applyFill="1" applyBorder="1" applyAlignment="1">
      <alignment horizontal="center" vertical="top" wrapText="1"/>
    </xf>
    <xf numFmtId="0" fontId="5" fillId="5" borderId="4" xfId="2" applyFont="1" applyFill="1" applyBorder="1" applyAlignment="1">
      <alignment horizontal="center" vertical="top" wrapText="1"/>
    </xf>
    <xf numFmtId="0" fontId="5" fillId="5" borderId="6" xfId="2" applyFont="1" applyFill="1" applyBorder="1" applyAlignment="1">
      <alignment horizontal="center" vertical="top" wrapText="1"/>
    </xf>
    <xf numFmtId="0" fontId="10" fillId="6" borderId="0" xfId="2" applyFont="1" applyFill="1" applyAlignment="1">
      <alignment vertical="center"/>
    </xf>
    <xf numFmtId="0" fontId="6" fillId="7" borderId="5" xfId="2" applyFont="1" applyFill="1" applyBorder="1" applyAlignment="1">
      <alignment horizontal="center" vertical="center"/>
    </xf>
    <xf numFmtId="0" fontId="6" fillId="7" borderId="14" xfId="2" applyFont="1" applyFill="1" applyBorder="1" applyAlignment="1">
      <alignment horizontal="center" vertical="center" wrapText="1"/>
    </xf>
    <xf numFmtId="0" fontId="6" fillId="7" borderId="14" xfId="2" applyFont="1" applyFill="1" applyBorder="1" applyAlignment="1">
      <alignment horizontal="center" vertical="center"/>
    </xf>
    <xf numFmtId="0" fontId="6" fillId="7" borderId="15" xfId="2" applyFont="1" applyFill="1" applyBorder="1" applyAlignment="1">
      <alignment horizontal="center" vertical="center" wrapText="1"/>
    </xf>
    <xf numFmtId="0" fontId="2" fillId="4" borderId="5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left" vertical="center" wrapText="1"/>
    </xf>
    <xf numFmtId="0" fontId="2" fillId="4" borderId="2" xfId="1" applyNumberFormat="1" applyFont="1" applyFill="1" applyBorder="1" applyAlignment="1">
      <alignment horizontal="center" vertical="center"/>
    </xf>
    <xf numFmtId="15" fontId="2" fillId="4" borderId="2" xfId="2" applyNumberFormat="1" applyFont="1" applyFill="1" applyBorder="1" applyAlignment="1">
      <alignment horizontal="center" vertical="center" shrinkToFit="1"/>
    </xf>
    <xf numFmtId="0" fontId="2" fillId="4" borderId="2" xfId="2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center" vertical="center" shrinkToFit="1"/>
    </xf>
    <xf numFmtId="0" fontId="3" fillId="3" borderId="5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left" vertical="center" wrapText="1"/>
    </xf>
    <xf numFmtId="0" fontId="3" fillId="3" borderId="2" xfId="1" applyNumberFormat="1" applyFont="1" applyFill="1" applyBorder="1" applyAlignment="1">
      <alignment horizontal="center" vertical="center"/>
    </xf>
    <xf numFmtId="15" fontId="3" fillId="3" borderId="2" xfId="2" applyNumberFormat="1" applyFont="1" applyFill="1" applyBorder="1" applyAlignment="1">
      <alignment horizontal="center" vertical="center" shrinkToFit="1"/>
    </xf>
    <xf numFmtId="0" fontId="3" fillId="3" borderId="2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 shrinkToFit="1"/>
    </xf>
    <xf numFmtId="0" fontId="2" fillId="2" borderId="5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left" vertical="center" wrapText="1"/>
    </xf>
    <xf numFmtId="164" fontId="2" fillId="2" borderId="2" xfId="1" applyFont="1" applyFill="1" applyBorder="1" applyAlignment="1">
      <alignment horizontal="left" vertical="center" wrapText="1"/>
    </xf>
    <xf numFmtId="0" fontId="2" fillId="2" borderId="2" xfId="1" applyNumberFormat="1" applyFont="1" applyFill="1" applyBorder="1" applyAlignment="1">
      <alignment horizontal="center" vertical="center"/>
    </xf>
    <xf numFmtId="15" fontId="2" fillId="2" borderId="2" xfId="2" applyNumberFormat="1" applyFont="1" applyFill="1" applyBorder="1" applyAlignment="1">
      <alignment horizontal="center" vertical="center" shrinkToFit="1"/>
    </xf>
    <xf numFmtId="0" fontId="2" fillId="2" borderId="2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shrinkToFit="1"/>
    </xf>
    <xf numFmtId="0" fontId="2" fillId="8" borderId="5" xfId="2" applyFont="1" applyFill="1" applyBorder="1" applyAlignment="1">
      <alignment horizontal="center" vertical="center"/>
    </xf>
    <xf numFmtId="0" fontId="2" fillId="8" borderId="1" xfId="2" applyFont="1" applyFill="1" applyBorder="1" applyAlignment="1">
      <alignment horizontal="left" vertical="center" wrapText="1"/>
    </xf>
    <xf numFmtId="164" fontId="2" fillId="8" borderId="2" xfId="1" applyFont="1" applyFill="1" applyBorder="1" applyAlignment="1">
      <alignment horizontal="left" vertical="center" wrapText="1"/>
    </xf>
    <xf numFmtId="0" fontId="2" fillId="8" borderId="2" xfId="1" applyNumberFormat="1" applyFont="1" applyFill="1" applyBorder="1" applyAlignment="1">
      <alignment horizontal="center" vertical="center"/>
    </xf>
    <xf numFmtId="15" fontId="2" fillId="8" borderId="2" xfId="2" applyNumberFormat="1" applyFont="1" applyFill="1" applyBorder="1" applyAlignment="1">
      <alignment horizontal="center" vertical="center" shrinkToFit="1"/>
    </xf>
    <xf numFmtId="0" fontId="2" fillId="8" borderId="2" xfId="2" applyFont="1" applyFill="1" applyBorder="1" applyAlignment="1">
      <alignment horizontal="center" vertical="center"/>
    </xf>
    <xf numFmtId="0" fontId="2" fillId="8" borderId="2" xfId="2" applyFont="1" applyFill="1" applyBorder="1" applyAlignment="1">
      <alignment horizontal="center" vertical="center" shrinkToFit="1"/>
    </xf>
    <xf numFmtId="0" fontId="7" fillId="6" borderId="5" xfId="2" applyFont="1" applyFill="1" applyBorder="1" applyAlignment="1">
      <alignment horizontal="center" vertical="center"/>
    </xf>
    <xf numFmtId="0" fontId="7" fillId="6" borderId="0" xfId="2" applyFont="1" applyFill="1" applyAlignment="1">
      <alignment horizontal="left" vertical="center" wrapText="1"/>
    </xf>
    <xf numFmtId="0" fontId="7" fillId="6" borderId="0" xfId="2" applyFont="1" applyFill="1" applyAlignment="1">
      <alignment vertical="center" wrapText="1"/>
    </xf>
    <xf numFmtId="0" fontId="7" fillId="6" borderId="0" xfId="2" applyFont="1" applyFill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1" fillId="0" borderId="0" xfId="3" applyAlignment="1">
      <alignment horizontal="left" vertical="top"/>
    </xf>
    <xf numFmtId="0" fontId="9" fillId="0" borderId="0" xfId="2" applyFont="1" applyAlignment="1">
      <alignment horizontal="center" vertical="center"/>
    </xf>
    <xf numFmtId="0" fontId="8" fillId="6" borderId="0" xfId="2" applyFont="1" applyFill="1" applyAlignment="1">
      <alignment horizontal="center" vertical="center"/>
    </xf>
    <xf numFmtId="0" fontId="13" fillId="6" borderId="5" xfId="2" applyFont="1" applyFill="1" applyBorder="1" applyAlignment="1">
      <alignment horizontal="center" vertical="center"/>
    </xf>
    <xf numFmtId="0" fontId="7" fillId="6" borderId="5" xfId="2" applyFont="1" applyFill="1" applyBorder="1" applyAlignment="1">
      <alignment vertical="center"/>
    </xf>
    <xf numFmtId="0" fontId="6" fillId="7" borderId="5" xfId="2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11" fillId="0" borderId="0" xfId="3" applyNumberFormat="1" applyAlignment="1">
      <alignment horizontal="left" vertical="top"/>
    </xf>
    <xf numFmtId="0" fontId="11" fillId="0" borderId="0" xfId="3" applyAlignment="1">
      <alignment horizontal="center" vertical="top"/>
    </xf>
    <xf numFmtId="0" fontId="14" fillId="9" borderId="16" xfId="3" applyFont="1" applyFill="1" applyBorder="1" applyAlignment="1">
      <alignment horizontal="left" vertical="top" wrapText="1"/>
    </xf>
    <xf numFmtId="0" fontId="1" fillId="9" borderId="16" xfId="3" applyFont="1" applyFill="1" applyBorder="1" applyAlignment="1">
      <alignment horizontal="left" vertical="top" wrapText="1"/>
    </xf>
    <xf numFmtId="0" fontId="1" fillId="9" borderId="17" xfId="3" applyFont="1" applyFill="1" applyBorder="1" applyAlignment="1">
      <alignment horizontal="center" vertical="top" wrapText="1"/>
    </xf>
    <xf numFmtId="0" fontId="1" fillId="9" borderId="18" xfId="3" applyFont="1" applyFill="1" applyBorder="1" applyAlignment="1">
      <alignment horizontal="left" vertical="top" wrapText="1"/>
    </xf>
    <xf numFmtId="0" fontId="1" fillId="9" borderId="17" xfId="3" applyFont="1" applyFill="1" applyBorder="1" applyAlignment="1">
      <alignment horizontal="left" vertical="top" wrapText="1"/>
    </xf>
    <xf numFmtId="0" fontId="11" fillId="0" borderId="5" xfId="3" applyBorder="1" applyAlignment="1">
      <alignment horizontal="center" vertical="top"/>
    </xf>
    <xf numFmtId="0" fontId="12" fillId="0" borderId="5" xfId="3" applyFont="1" applyBorder="1" applyAlignment="1">
      <alignment horizontal="left" vertical="top" wrapText="1"/>
    </xf>
    <xf numFmtId="1" fontId="17" fillId="0" borderId="5" xfId="3" applyNumberFormat="1" applyFont="1" applyBorder="1" applyAlignment="1">
      <alignment horizontal="center" vertical="top" shrinkToFit="1"/>
    </xf>
    <xf numFmtId="0" fontId="12" fillId="0" borderId="5" xfId="3" applyFont="1" applyBorder="1" applyAlignment="1">
      <alignment vertical="top" wrapText="1"/>
    </xf>
    <xf numFmtId="0" fontId="11" fillId="0" borderId="5" xfId="3" applyBorder="1" applyAlignment="1">
      <alignment horizontal="left" wrapText="1"/>
    </xf>
    <xf numFmtId="0" fontId="11" fillId="0" borderId="5" xfId="3" applyBorder="1" applyAlignment="1">
      <alignment horizontal="left" vertical="center" wrapText="1"/>
    </xf>
    <xf numFmtId="0" fontId="11" fillId="0" borderId="5" xfId="3" applyBorder="1" applyAlignment="1">
      <alignment horizontal="left" vertical="top" wrapText="1"/>
    </xf>
    <xf numFmtId="0" fontId="6" fillId="6" borderId="6" xfId="2" applyFont="1" applyFill="1" applyBorder="1" applyAlignment="1">
      <alignment horizontal="center" vertical="center" textRotation="90"/>
    </xf>
    <xf numFmtId="0" fontId="6" fillId="6" borderId="11" xfId="2" applyFont="1" applyFill="1" applyBorder="1" applyAlignment="1">
      <alignment horizontal="center" vertical="center" textRotation="90"/>
    </xf>
    <xf numFmtId="0" fontId="8" fillId="6" borderId="8" xfId="2" applyFont="1" applyFill="1" applyBorder="1" applyAlignment="1">
      <alignment horizontal="center" vertical="center"/>
    </xf>
    <xf numFmtId="0" fontId="8" fillId="6" borderId="9" xfId="2" applyFont="1" applyFill="1" applyBorder="1" applyAlignment="1">
      <alignment horizontal="center" vertical="center"/>
    </xf>
    <xf numFmtId="0" fontId="9" fillId="0" borderId="10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8" fillId="6" borderId="10" xfId="2" applyFont="1" applyFill="1" applyBorder="1" applyAlignment="1">
      <alignment horizontal="center" vertical="center"/>
    </xf>
    <xf numFmtId="0" fontId="8" fillId="6" borderId="0" xfId="2" applyFont="1" applyFill="1" applyAlignment="1">
      <alignment horizontal="center" vertical="center"/>
    </xf>
    <xf numFmtId="0" fontId="8" fillId="6" borderId="12" xfId="2" applyFont="1" applyFill="1" applyBorder="1" applyAlignment="1">
      <alignment horizontal="center" vertical="center"/>
    </xf>
    <xf numFmtId="0" fontId="8" fillId="6" borderId="13" xfId="2" applyFont="1" applyFill="1" applyBorder="1" applyAlignment="1">
      <alignment horizontal="center" vertical="center"/>
    </xf>
  </cellXfs>
  <cellStyles count="4">
    <cellStyle name="Normal" xfId="0" builtinId="0"/>
    <cellStyle name="Normal 2" xfId="2" xr:uid="{2938551D-9006-4A6C-AFFE-48F8610DCE80}"/>
    <cellStyle name="Normal 3" xfId="3" xr:uid="{8814B644-74F0-4E15-895F-D1659F114A71}"/>
    <cellStyle name="Normal_Formularios Oferta Técnica " xfId="1" xr:uid="{EF7E9CF9-5675-4A41-8386-7868E6EBA081}"/>
  </cellStyles>
  <dxfs count="3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97698</xdr:colOff>
      <xdr:row>0</xdr:row>
      <xdr:rowOff>20320</xdr:rowOff>
    </xdr:from>
    <xdr:to>
      <xdr:col>3</xdr:col>
      <xdr:colOff>1556385</xdr:colOff>
      <xdr:row>3</xdr:row>
      <xdr:rowOff>72709</xdr:rowOff>
    </xdr:to>
    <xdr:pic>
      <xdr:nvPicPr>
        <xdr:cNvPr id="2" name="Picture 2441" descr="Descripción: https://www.google.com/a/cpanel/eimontajes.cl/images/logo.gif?service=mail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748" y="20320"/>
          <a:ext cx="1458687" cy="6810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0</xdr:row>
          <xdr:rowOff>44450</xdr:rowOff>
        </xdr:from>
        <xdr:to>
          <xdr:col>1</xdr:col>
          <xdr:colOff>2667000</xdr:colOff>
          <xdr:row>5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spinoza\Desktop\Copia%20de%20List-Doc-SGDOC%2023-10-2025.xlsx" TargetMode="External"/><Relationship Id="rId1" Type="http://schemas.openxmlformats.org/officeDocument/2006/relationships/externalLinkPath" Target="Copia%20de%20List-Doc-SGDOC%2023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1"/>
    </sheetNames>
    <sheetDataSet>
      <sheetData sheetId="0">
        <row r="1">
          <cell r="B1">
            <v>45957</v>
          </cell>
        </row>
        <row r="3">
          <cell r="B3" t="str">
            <v>NUMERO DE DOCUMENTO</v>
          </cell>
        </row>
        <row r="4">
          <cell r="B4" t="str">
            <v>4600022667-001-03350-000CA-00001</v>
          </cell>
        </row>
        <row r="5">
          <cell r="B5" t="str">
            <v>4600022667-001-03350-000CA-00002</v>
          </cell>
        </row>
        <row r="6">
          <cell r="B6" t="str">
            <v>4600022667-001-03350-000CA-00003</v>
          </cell>
        </row>
        <row r="7">
          <cell r="B7" t="str">
            <v>4600022667-001-03350-002AT-00001</v>
          </cell>
        </row>
        <row r="8">
          <cell r="B8" t="str">
            <v>4600022667-001-03350-002AT-00002</v>
          </cell>
        </row>
        <row r="9">
          <cell r="B9" t="str">
            <v>4600022667-001-03350-002AT-00003</v>
          </cell>
        </row>
        <row r="10">
          <cell r="B10" t="str">
            <v>4600022667-001-03350-002EL-00005</v>
          </cell>
        </row>
        <row r="11">
          <cell r="B11" t="str">
            <v>4600022667-001-03350-002EL-00006</v>
          </cell>
        </row>
        <row r="12">
          <cell r="B12" t="str">
            <v>4600022667-001-03350-002EL-00007</v>
          </cell>
        </row>
        <row r="13">
          <cell r="B13" t="str">
            <v>4600022667-001-03350-100AR-00001</v>
          </cell>
        </row>
        <row r="14">
          <cell r="B14" t="str">
            <v>4600022667-001-03350-100AR-00002</v>
          </cell>
        </row>
        <row r="15">
          <cell r="B15" t="str">
            <v>4600022667-001-03350-100AR-00003</v>
          </cell>
        </row>
        <row r="16">
          <cell r="B16" t="str">
            <v>4600022667-001-03350-100CA-00001</v>
          </cell>
        </row>
        <row r="17">
          <cell r="B17" t="str">
            <v>4600022667-001-03350-100CA-00002</v>
          </cell>
        </row>
        <row r="18">
          <cell r="B18" t="str">
            <v>4600022667-001-03350-100CA-00003</v>
          </cell>
        </row>
        <row r="19">
          <cell r="B19" t="str">
            <v>4600022667-001-03350-100CI-00001</v>
          </cell>
        </row>
        <row r="20">
          <cell r="B20" t="str">
            <v>4600022667-001-03350-100CI-00004</v>
          </cell>
        </row>
        <row r="21">
          <cell r="B21" t="str">
            <v>4600022667-001-03350-100EL-00005</v>
          </cell>
        </row>
        <row r="22">
          <cell r="B22" t="str">
            <v>4600022667-001-03350-100EL-00006</v>
          </cell>
        </row>
        <row r="23">
          <cell r="B23" t="str">
            <v>4600022667-001-03350-100EL-00007</v>
          </cell>
        </row>
        <row r="24">
          <cell r="B24" t="str">
            <v>4600022667-001-03350-100ME-00001</v>
          </cell>
        </row>
        <row r="25">
          <cell r="B25" t="str">
            <v>4600022667-001-03350-100ME-00002</v>
          </cell>
        </row>
        <row r="26">
          <cell r="B26" t="str">
            <v>4600022667-001-03350-101ME-00001</v>
          </cell>
        </row>
        <row r="27">
          <cell r="B27" t="str">
            <v>4600022667-001-03350-101ME-00002</v>
          </cell>
        </row>
        <row r="28">
          <cell r="B28" t="str">
            <v>4600022667-001-03350-101ME-00003</v>
          </cell>
        </row>
        <row r="29">
          <cell r="B29" t="str">
            <v>4600022667-001-03350-102CA-00001</v>
          </cell>
        </row>
        <row r="30">
          <cell r="B30" t="str">
            <v>4600022667-001-03350-102CA-00002</v>
          </cell>
        </row>
        <row r="31">
          <cell r="B31" t="str">
            <v>4600022667-001-03350-102CA-00003</v>
          </cell>
        </row>
        <row r="32">
          <cell r="B32" t="str">
            <v>4600022667-001-03350-102CA-00004</v>
          </cell>
        </row>
        <row r="33">
          <cell r="B33" t="str">
            <v>4600022667-001-03350-102CA-00005</v>
          </cell>
        </row>
        <row r="34">
          <cell r="B34" t="str">
            <v>4600022667-001-03350-102CA-00006</v>
          </cell>
        </row>
        <row r="35">
          <cell r="B35" t="str">
            <v>4600022667-001-03350-102CA-00007</v>
          </cell>
        </row>
        <row r="36">
          <cell r="B36" t="str">
            <v>4600022667-001-03350-102CA-00008</v>
          </cell>
        </row>
        <row r="37">
          <cell r="B37" t="str">
            <v>4600022667-001-03350-102CA-00009</v>
          </cell>
        </row>
        <row r="38">
          <cell r="B38" t="str">
            <v>4600022667-001-03350-102CA-00010</v>
          </cell>
        </row>
        <row r="39">
          <cell r="B39" t="str">
            <v>4600022667-001-03350-102CA-00011</v>
          </cell>
        </row>
        <row r="40">
          <cell r="B40" t="str">
            <v>4600022667-001-03350-102CA-00012</v>
          </cell>
        </row>
        <row r="41">
          <cell r="B41" t="str">
            <v>4600022667-001-03350-102CA-00013</v>
          </cell>
        </row>
        <row r="42">
          <cell r="B42" t="str">
            <v>4600022667-001-03350-102CA-00014</v>
          </cell>
        </row>
        <row r="43">
          <cell r="B43" t="str">
            <v>4600022667-001-03350-102CA-00015</v>
          </cell>
        </row>
        <row r="44">
          <cell r="B44" t="str">
            <v>4600022667-001-03350-103ME-00001</v>
          </cell>
        </row>
        <row r="45">
          <cell r="B45" t="str">
            <v>4600022667-001-03350-103ME-00002</v>
          </cell>
        </row>
        <row r="46">
          <cell r="B46" t="str">
            <v>4600022667-001-03350-103ME-00003</v>
          </cell>
        </row>
        <row r="47">
          <cell r="B47" t="str">
            <v>4600022667-001-03350-103ME-00004</v>
          </cell>
        </row>
        <row r="48">
          <cell r="B48" t="str">
            <v>4600022667-001-03350-105AT-00001</v>
          </cell>
        </row>
        <row r="49">
          <cell r="B49" t="str">
            <v>4600022667-001-03350-105AT-00002</v>
          </cell>
        </row>
        <row r="50">
          <cell r="B50" t="str">
            <v>4600022667-001-03350-105AT-00003</v>
          </cell>
        </row>
        <row r="51">
          <cell r="B51" t="str">
            <v>4600022667-001-03350-110EL-00001</v>
          </cell>
        </row>
        <row r="52">
          <cell r="B52" t="str">
            <v>4600022667-001-03350-201CA-00001</v>
          </cell>
        </row>
        <row r="53">
          <cell r="B53" t="str">
            <v>4600022667-001-03350-201CA-00002</v>
          </cell>
        </row>
        <row r="54">
          <cell r="B54" t="str">
            <v>4600022667-001-03350-201CA-00003</v>
          </cell>
        </row>
        <row r="55">
          <cell r="B55" t="str">
            <v>4600022667-001-03350-201CA-00004</v>
          </cell>
        </row>
        <row r="56">
          <cell r="B56" t="str">
            <v>4600022667-001-03350-201CA-00005</v>
          </cell>
        </row>
        <row r="57">
          <cell r="B57" t="str">
            <v>4600022667-001-03350-201CA-00006</v>
          </cell>
        </row>
        <row r="58">
          <cell r="B58" t="str">
            <v>4600022667-001-03350-202AT-00001</v>
          </cell>
        </row>
        <row r="59">
          <cell r="B59" t="str">
            <v>4600022667-001-03350-202AT-00002</v>
          </cell>
        </row>
        <row r="60">
          <cell r="B60" t="str">
            <v>4600022667-001-03350-202CI-00001</v>
          </cell>
        </row>
        <row r="61">
          <cell r="B61" t="str">
            <v>4600022667-001-03350-202CI-00002</v>
          </cell>
        </row>
        <row r="62">
          <cell r="B62" t="str">
            <v>4600022667-001-03350-202CI-00003</v>
          </cell>
        </row>
        <row r="63">
          <cell r="B63" t="str">
            <v>4600022667-001-03350-202CI-00004</v>
          </cell>
        </row>
        <row r="64">
          <cell r="B64" t="str">
            <v>4600022667-001-03350-202CI-00005</v>
          </cell>
        </row>
        <row r="65">
          <cell r="B65" t="str">
            <v>4600022667-001-03350-202CI-00006</v>
          </cell>
        </row>
        <row r="66">
          <cell r="B66" t="str">
            <v>4600022667-001-03350-202CI-00007</v>
          </cell>
        </row>
        <row r="67">
          <cell r="B67" t="str">
            <v>4600022667-001-03350-202CI-00009</v>
          </cell>
        </row>
        <row r="68">
          <cell r="B68" t="str">
            <v>4600022667-001-03350-202EL-00001</v>
          </cell>
        </row>
        <row r="69">
          <cell r="B69" t="str">
            <v>4600022667-001-03350-202EL-00005</v>
          </cell>
        </row>
        <row r="70">
          <cell r="B70" t="str">
            <v>4600022667-001-03350-202EL-00006</v>
          </cell>
        </row>
        <row r="71">
          <cell r="B71" t="str">
            <v>4600022667-001-03350-202ES-00001</v>
          </cell>
        </row>
        <row r="72">
          <cell r="B72" t="str">
            <v>4600022667-001-03350-202ES-00002</v>
          </cell>
        </row>
        <row r="73">
          <cell r="B73" t="str">
            <v>4600022667-001-03350-202ES-00003</v>
          </cell>
        </row>
        <row r="74">
          <cell r="B74" t="str">
            <v>4600022667-001-03350-202ES-00004</v>
          </cell>
        </row>
        <row r="75">
          <cell r="B75" t="str">
            <v>4600022667-001-03350-202ES-00005</v>
          </cell>
        </row>
        <row r="76">
          <cell r="B76" t="str">
            <v>4600022667-001-03350-202ES-00006</v>
          </cell>
        </row>
        <row r="77">
          <cell r="B77" t="str">
            <v>4600022667-001-03350-202ES-00007</v>
          </cell>
        </row>
        <row r="78">
          <cell r="B78" t="str">
            <v>4600022667-001-03350-202ES-00008</v>
          </cell>
        </row>
        <row r="79">
          <cell r="B79" t="str">
            <v>4600022667-001-03350-202ES-00009</v>
          </cell>
        </row>
        <row r="80">
          <cell r="B80" t="str">
            <v>4600022667-001-03350-202ES-00011</v>
          </cell>
        </row>
        <row r="81">
          <cell r="B81" t="str">
            <v>4600022667-001-03350-202ES-00012</v>
          </cell>
        </row>
        <row r="82">
          <cell r="B82" t="str">
            <v>4600022667-001-03350-202ES-00013</v>
          </cell>
        </row>
        <row r="83">
          <cell r="B83" t="str">
            <v>4600022667-001-03350-202PR-00001</v>
          </cell>
        </row>
        <row r="84">
          <cell r="B84" t="str">
            <v>4600022667-001-03350-205CA-00001</v>
          </cell>
        </row>
        <row r="85">
          <cell r="B85" t="str">
            <v>4600022667-001-03350-205CA-00002</v>
          </cell>
        </row>
        <row r="86">
          <cell r="B86" t="str">
            <v>4600022667-001-03350-205CA-00003</v>
          </cell>
        </row>
        <row r="87">
          <cell r="B87" t="str">
            <v>4600022667-001-03350-205CA-00004</v>
          </cell>
        </row>
        <row r="88">
          <cell r="B88" t="str">
            <v>4600022667-001-03350-205CA-00005</v>
          </cell>
        </row>
        <row r="89">
          <cell r="B89" t="str">
            <v>4600022667-001-03350-205CA-00006</v>
          </cell>
        </row>
        <row r="90">
          <cell r="B90" t="str">
            <v>4600022667-001-03350-205CA-00007</v>
          </cell>
        </row>
        <row r="91">
          <cell r="B91" t="str">
            <v>4600022667-001-03350-205CA-00008</v>
          </cell>
        </row>
        <row r="92">
          <cell r="B92" t="str">
            <v>4600022667-001-03350-205EL-00001</v>
          </cell>
        </row>
        <row r="93">
          <cell r="B93" t="str">
            <v>4600022667-001-03350-205EL-00002</v>
          </cell>
        </row>
        <row r="94">
          <cell r="B94" t="str">
            <v>4600022667-001-03350-205EL-00003</v>
          </cell>
        </row>
        <row r="95">
          <cell r="B95" t="str">
            <v>4600022667-001-03350-205EL-00004</v>
          </cell>
        </row>
        <row r="96">
          <cell r="B96" t="str">
            <v>4600022667-001-03350-205ES-00001</v>
          </cell>
        </row>
        <row r="97">
          <cell r="B97" t="str">
            <v>4600022667-001-03350-205ES-00002</v>
          </cell>
        </row>
        <row r="98">
          <cell r="B98" t="str">
            <v>4600022667-001-03350-205ES-00003</v>
          </cell>
        </row>
        <row r="99">
          <cell r="B99" t="str">
            <v>4600022667-001-03350-205ES-00004</v>
          </cell>
        </row>
        <row r="100">
          <cell r="B100" t="str">
            <v>4600022667-001-03350-205ES-00005</v>
          </cell>
        </row>
        <row r="101">
          <cell r="B101" t="str">
            <v>4600022667-001-03350-205ES-00006</v>
          </cell>
        </row>
        <row r="102">
          <cell r="B102" t="str">
            <v>4600022667-001-03350-205ES-00007</v>
          </cell>
        </row>
        <row r="103">
          <cell r="B103" t="str">
            <v>4600022667-001-03350-205ES-00008</v>
          </cell>
        </row>
        <row r="104">
          <cell r="B104" t="str">
            <v>4600022667-001-03350-205ES-00009</v>
          </cell>
        </row>
        <row r="105">
          <cell r="B105" t="str">
            <v>4600022667-001-03350-205ES-00010</v>
          </cell>
        </row>
        <row r="106">
          <cell r="B106" t="str">
            <v>4600022667-001-03350-205ES-00011</v>
          </cell>
        </row>
        <row r="107">
          <cell r="B107" t="str">
            <v>4600022667-001-03350-205ES-00012</v>
          </cell>
        </row>
        <row r="108">
          <cell r="B108" t="str">
            <v>4600022667-001-03350-205ES-00013</v>
          </cell>
        </row>
        <row r="109">
          <cell r="B109" t="str">
            <v>4600022667-001-03350-205ES-00014</v>
          </cell>
        </row>
        <row r="110">
          <cell r="B110" t="str">
            <v>4600022667-001-03350-205ES-00015</v>
          </cell>
        </row>
        <row r="111">
          <cell r="B111" t="str">
            <v>4600022667-001-03350-205ES-00016</v>
          </cell>
        </row>
        <row r="112">
          <cell r="B112" t="str">
            <v>4600022667-001-03350-205ES-00017</v>
          </cell>
        </row>
        <row r="113">
          <cell r="B113" t="str">
            <v>4600022667-001-03350-205ES-00023</v>
          </cell>
        </row>
        <row r="114">
          <cell r="B114" t="str">
            <v>4600022667-001-03350-205ES-00024</v>
          </cell>
        </row>
        <row r="115">
          <cell r="B115" t="str">
            <v>4600022667-001-03350-206CA-00001</v>
          </cell>
        </row>
        <row r="116">
          <cell r="B116" t="str">
            <v>4600022667-001-03350-206EL-00001</v>
          </cell>
        </row>
        <row r="117">
          <cell r="B117" t="str">
            <v>4600022667-001-03350-208AT-00001</v>
          </cell>
        </row>
        <row r="118">
          <cell r="B118" t="str">
            <v>4600022667-001-03350-208EL-00013</v>
          </cell>
        </row>
        <row r="119">
          <cell r="B119" t="str">
            <v>4600022667-001-03350-208EL-00016</v>
          </cell>
        </row>
        <row r="120">
          <cell r="B120" t="str">
            <v>4600022667-001-03350-208EL-00017</v>
          </cell>
        </row>
        <row r="121">
          <cell r="B121" t="str">
            <v>4600022667-001-03350-208EL-00018</v>
          </cell>
        </row>
        <row r="122">
          <cell r="B122" t="str">
            <v>4600022667-001-03350-208EL-00019</v>
          </cell>
        </row>
        <row r="123">
          <cell r="B123" t="str">
            <v>4600022667-001-03350-208EL-00020</v>
          </cell>
        </row>
        <row r="124">
          <cell r="B124" t="str">
            <v>4600022667-001-03350-210EL-00002</v>
          </cell>
        </row>
        <row r="125">
          <cell r="B125" t="str">
            <v>4600022667-001-03350-210EL-00003</v>
          </cell>
        </row>
        <row r="126">
          <cell r="B126" t="str">
            <v>4600022667-001-03350-210EL-00004</v>
          </cell>
        </row>
        <row r="127">
          <cell r="B127" t="str">
            <v>4600022667-001-03350-210EL-00005</v>
          </cell>
        </row>
        <row r="128">
          <cell r="B128" t="str">
            <v>4600022667-001-03350-210EL-00006</v>
          </cell>
        </row>
        <row r="129">
          <cell r="B129" t="str">
            <v>4600022667-001-03350-210EL-00007</v>
          </cell>
        </row>
        <row r="130">
          <cell r="B130" t="str">
            <v>4600022667-001-03350-212EL-00001</v>
          </cell>
        </row>
        <row r="131">
          <cell r="B131" t="str">
            <v>4600022667-001-03350-212EL-00002</v>
          </cell>
        </row>
        <row r="132">
          <cell r="B132" t="str">
            <v>4600022667-001-03350-212EL-00003</v>
          </cell>
        </row>
        <row r="133">
          <cell r="B133" t="str">
            <v>4600022667-001-03350-212EL-00007</v>
          </cell>
        </row>
        <row r="134">
          <cell r="B134" t="str">
            <v>4600022667-001-03350-212EL-00008</v>
          </cell>
        </row>
        <row r="135">
          <cell r="B135" t="str">
            <v>4600022667-001-03350-212EL-00011</v>
          </cell>
        </row>
        <row r="136">
          <cell r="B136" t="str">
            <v>4600022667-001-03350-221AT-00001</v>
          </cell>
        </row>
        <row r="137">
          <cell r="B137" t="str">
            <v>4600022667-001-03350-221AT-00002</v>
          </cell>
        </row>
        <row r="138">
          <cell r="B138" t="str">
            <v>4600022667-001-03350-221AT-00003</v>
          </cell>
        </row>
        <row r="139">
          <cell r="B139" t="str">
            <v>4600022667-001-03350-226AT-00001</v>
          </cell>
        </row>
        <row r="140">
          <cell r="B140" t="str">
            <v>4600022667-001-03350-226AT-00002</v>
          </cell>
        </row>
        <row r="141">
          <cell r="B141" t="str">
            <v>4600022667-001-03350-226AT-00003</v>
          </cell>
        </row>
        <row r="142">
          <cell r="B142" t="str">
            <v>4600022667-001-03350-226AT-00004</v>
          </cell>
        </row>
        <row r="143">
          <cell r="B143" t="str">
            <v>4600022667-001-03350-226AT-00005</v>
          </cell>
        </row>
        <row r="144">
          <cell r="B144" t="str">
            <v>4600022667-001-03350-226AT-00006</v>
          </cell>
        </row>
        <row r="145">
          <cell r="B145" t="str">
            <v>4600022667-001-03350-226AT-00007</v>
          </cell>
        </row>
        <row r="146">
          <cell r="B146" t="str">
            <v>4600022667-001-03350-226AT-00008</v>
          </cell>
        </row>
        <row r="147">
          <cell r="B147" t="str">
            <v>4600022667-001-03350-226AT-00009</v>
          </cell>
        </row>
        <row r="148">
          <cell r="B148" t="str">
            <v>4600022667-001-03350-226AT-00010</v>
          </cell>
        </row>
        <row r="149">
          <cell r="B149" t="str">
            <v>4600022667-001-03350-226AT-00011</v>
          </cell>
        </row>
        <row r="150">
          <cell r="B150" t="str">
            <v>4600022667-001-03350-226AT-00012</v>
          </cell>
        </row>
        <row r="151">
          <cell r="B151" t="str">
            <v>4600022667-001-03350-226AT-00013</v>
          </cell>
        </row>
        <row r="152">
          <cell r="B152" t="str">
            <v>4600022667-001-03350-226AT-00014</v>
          </cell>
        </row>
        <row r="153">
          <cell r="B153" t="str">
            <v>4600022667-001-03350-226AT-00015</v>
          </cell>
        </row>
        <row r="154">
          <cell r="B154" t="str">
            <v>4600022667-001-03350-227AT-00001</v>
          </cell>
        </row>
        <row r="155">
          <cell r="B155" t="str">
            <v>4600022667-001-03350-227AT-00002</v>
          </cell>
        </row>
        <row r="156">
          <cell r="B156" t="str">
            <v>4600022667-001-03350-227AT-00003</v>
          </cell>
        </row>
        <row r="157">
          <cell r="B157" t="str">
            <v>4600022667-001-03350-227AT-00004</v>
          </cell>
        </row>
        <row r="158">
          <cell r="B158" t="str">
            <v>4600022667-001-03350-227AT-00005</v>
          </cell>
        </row>
        <row r="159">
          <cell r="B159" t="str">
            <v>4600022667-001-03350-300AR-00001</v>
          </cell>
        </row>
        <row r="160">
          <cell r="B160" t="str">
            <v>4600022667-001-03350-300AR-00002</v>
          </cell>
        </row>
        <row r="161">
          <cell r="B161" t="str">
            <v>4600022667-001-03350-300AR-00003</v>
          </cell>
        </row>
        <row r="162">
          <cell r="B162" t="str">
            <v>4600022667-001-03350-300AR-00004</v>
          </cell>
        </row>
        <row r="163">
          <cell r="B163" t="str">
            <v>4600022667-001-03350-300AR-00005</v>
          </cell>
        </row>
        <row r="164">
          <cell r="B164" t="str">
            <v>4600022667-001-03350-302ES-00001</v>
          </cell>
        </row>
        <row r="165">
          <cell r="B165" t="str">
            <v>4600022667-001-03350-302ES-00002</v>
          </cell>
        </row>
        <row r="166">
          <cell r="B166" t="str">
            <v>4600022667-001-03350-302ES-00003</v>
          </cell>
        </row>
        <row r="167">
          <cell r="B167" t="str">
            <v>4600022667-001-03350-302ES-00004</v>
          </cell>
        </row>
        <row r="168">
          <cell r="B168" t="str">
            <v>4600022667-001-03350-302ES-00005</v>
          </cell>
        </row>
        <row r="169">
          <cell r="B169" t="str">
            <v>4600022667-001-03350-302ES-00006</v>
          </cell>
        </row>
        <row r="170">
          <cell r="B170" t="str">
            <v>4600022667-001-03350-302ES-00007</v>
          </cell>
        </row>
        <row r="171">
          <cell r="B171" t="str">
            <v>4600022667-001-03350-302ES-00008</v>
          </cell>
        </row>
        <row r="172">
          <cell r="B172" t="str">
            <v>4600022667-001-03350-302ES-00009</v>
          </cell>
        </row>
        <row r="173">
          <cell r="B173" t="str">
            <v>4600022667-001-03350-302ES-00010</v>
          </cell>
        </row>
        <row r="174">
          <cell r="B174" t="str">
            <v>4600022667-001-03350-302ES-00011</v>
          </cell>
        </row>
        <row r="175">
          <cell r="B175" t="str">
            <v>4600022667-001-03350-302ES-00012</v>
          </cell>
        </row>
        <row r="176">
          <cell r="B176" t="str">
            <v>4600022667-001-03350-302ES-00013</v>
          </cell>
        </row>
        <row r="177">
          <cell r="B177" t="str">
            <v>4600022667-001-03350-302ES-00014</v>
          </cell>
        </row>
        <row r="178">
          <cell r="B178" t="str">
            <v>4600022667-001-03350-500PR-00001</v>
          </cell>
        </row>
        <row r="179">
          <cell r="B179" t="str">
            <v>4600022667-001-03350-502CA-00001</v>
          </cell>
        </row>
        <row r="180">
          <cell r="B180" t="str">
            <v>4600022667-001-03350-502CA-00002</v>
          </cell>
        </row>
        <row r="181">
          <cell r="B181" t="str">
            <v>4600022667-001-03350-502CA-00003</v>
          </cell>
        </row>
        <row r="182">
          <cell r="B182" t="str">
            <v>4600022667-001-03350-502CA-00004</v>
          </cell>
        </row>
        <row r="183">
          <cell r="B183" t="str">
            <v>4600022667-001-03350-502CA-00005</v>
          </cell>
        </row>
        <row r="184">
          <cell r="B184" t="str">
            <v>4600022667-001-03350-502CA-00006</v>
          </cell>
        </row>
        <row r="185">
          <cell r="B185" t="str">
            <v>4600022667-001-03350-502CA-00007</v>
          </cell>
        </row>
        <row r="186">
          <cell r="B186" t="str">
            <v>4600022667-001-03350-502CA-00008</v>
          </cell>
        </row>
        <row r="187">
          <cell r="B187" t="str">
            <v>4600022667-001-03350-502CA-00009</v>
          </cell>
        </row>
        <row r="188">
          <cell r="B188" t="str">
            <v>4600022667-001-03350-502CA-00010</v>
          </cell>
        </row>
        <row r="189">
          <cell r="B189" t="str">
            <v>4600022667-001-03350-502CA-00011</v>
          </cell>
        </row>
        <row r="190">
          <cell r="B190" t="str">
            <v>4600022667-001-03350-600CI-00001</v>
          </cell>
        </row>
        <row r="191">
          <cell r="B191" t="str">
            <v>4600022667-001-03350-600CI-00006</v>
          </cell>
        </row>
        <row r="192">
          <cell r="B192" t="str">
            <v>4600022667-001-03350-ADDMD-00001</v>
          </cell>
        </row>
        <row r="193">
          <cell r="B193" t="str">
            <v>4600022667-001-03350-ADDMD-00002</v>
          </cell>
        </row>
        <row r="194">
          <cell r="B194" t="str">
            <v>4600022667-001-03350-ADDMD-00003</v>
          </cell>
        </row>
        <row r="195">
          <cell r="B195" t="str">
            <v>4600022667-001-03350-ADDMD-00004</v>
          </cell>
        </row>
        <row r="196">
          <cell r="B196" t="str">
            <v>4600022667-001-03350-CRDAT-00001</v>
          </cell>
        </row>
        <row r="197">
          <cell r="B197" t="str">
            <v>4600022667-001-03350-CRDCA-00001</v>
          </cell>
        </row>
        <row r="198">
          <cell r="B198" t="str">
            <v>4600022667-001-03350-CRDEL-00001</v>
          </cell>
        </row>
        <row r="199">
          <cell r="B199" t="str">
            <v>4600022667-001-03350-CRDES-00001</v>
          </cell>
        </row>
        <row r="200">
          <cell r="B200" t="str">
            <v>4600022667-001-03350-CRDME-00001</v>
          </cell>
        </row>
        <row r="201">
          <cell r="B201" t="str">
            <v>4600022667-001-03350-CRDPR-00001</v>
          </cell>
        </row>
        <row r="202">
          <cell r="B202" t="str">
            <v>4600022667-001-03350-CUBAT-00001</v>
          </cell>
        </row>
        <row r="203">
          <cell r="B203" t="str">
            <v>4600022667-001-03350-CUBCA-00001</v>
          </cell>
        </row>
        <row r="204">
          <cell r="B204" t="str">
            <v>4600022667-001-03350-CUBEL-00001</v>
          </cell>
        </row>
        <row r="205">
          <cell r="B205" t="str">
            <v>4600022667-001-03350-ESPAR-00001</v>
          </cell>
        </row>
        <row r="206">
          <cell r="B206" t="str">
            <v>4600022667-001-03350-ESPAR-00002</v>
          </cell>
        </row>
        <row r="207">
          <cell r="B207" t="str">
            <v>4600022667-001-03350-ESPAR-00003</v>
          </cell>
        </row>
        <row r="208">
          <cell r="B208" t="str">
            <v>4600022667-001-03350-ESPAT-00001</v>
          </cell>
        </row>
        <row r="209">
          <cell r="B209" t="str">
            <v>4600022667-001-03350-ESPAT-00005</v>
          </cell>
        </row>
        <row r="210">
          <cell r="B210" t="str">
            <v>4600022667-001-03350-ESPCA-00001</v>
          </cell>
        </row>
        <row r="211">
          <cell r="B211" t="str">
            <v>4600022667-001-03350-ESPCA-00002</v>
          </cell>
        </row>
        <row r="212">
          <cell r="B212" t="str">
            <v>4600022667-001-03350-ESPEL-00001</v>
          </cell>
        </row>
        <row r="213">
          <cell r="B213" t="str">
            <v>4600022667-001-03350-ESPEL-00002</v>
          </cell>
        </row>
        <row r="214">
          <cell r="B214" t="str">
            <v>4600022667-001-03350-ESPEL-00003</v>
          </cell>
        </row>
        <row r="215">
          <cell r="B215" t="str">
            <v>4600022667-001-03350-ESPEL-00004</v>
          </cell>
        </row>
        <row r="216">
          <cell r="B216" t="str">
            <v>4600022667-001-03350-ESPEL-00005</v>
          </cell>
        </row>
        <row r="217">
          <cell r="B217" t="str">
            <v>4600022667-001-03350-ESPEL-00006</v>
          </cell>
        </row>
        <row r="218">
          <cell r="B218" t="str">
            <v>4600022667-001-03350-ESPEL-00007</v>
          </cell>
        </row>
        <row r="219">
          <cell r="B219" t="str">
            <v>4600022667-001-03350-ESPES-00001</v>
          </cell>
        </row>
        <row r="220">
          <cell r="B220" t="str">
            <v>4600022667-001-03350-ESPES-00002</v>
          </cell>
        </row>
        <row r="221">
          <cell r="B221" t="str">
            <v>4600022667-001-03350-ESPME-00001</v>
          </cell>
        </row>
        <row r="222">
          <cell r="B222" t="str">
            <v>4600022667-001-03350-ESPME-00002</v>
          </cell>
        </row>
        <row r="223">
          <cell r="B223" t="str">
            <v>4600022667-001-03350-ESPME-00003</v>
          </cell>
        </row>
        <row r="224">
          <cell r="B224" t="str">
            <v>4600022667-001-03350-ESPME-00004</v>
          </cell>
        </row>
        <row r="225">
          <cell r="B225" t="str">
            <v>4600022667-001-03350-ESPME-00005</v>
          </cell>
        </row>
        <row r="226">
          <cell r="B226" t="str">
            <v>4600022667-001-03350-ESPME-00006</v>
          </cell>
        </row>
        <row r="227">
          <cell r="B227" t="str">
            <v>4600022667-001-03350-ESPME-00007</v>
          </cell>
        </row>
        <row r="228">
          <cell r="B228" t="str">
            <v>4600022667-001-03350-HDDAT-00001</v>
          </cell>
        </row>
        <row r="229">
          <cell r="B229" t="str">
            <v>4600022667-001-03350-HDDAT-00002</v>
          </cell>
        </row>
        <row r="230">
          <cell r="B230" t="str">
            <v>4600022667-001-03350-HDDAT-00003</v>
          </cell>
        </row>
        <row r="231">
          <cell r="B231" t="str">
            <v>4600022667-001-03350-HDDAT-00004</v>
          </cell>
        </row>
        <row r="232">
          <cell r="B232" t="str">
            <v>4600022667-001-03350-HDDAT-00005</v>
          </cell>
        </row>
        <row r="233">
          <cell r="B233" t="str">
            <v>4600022667-001-03350-HDDAT-00006</v>
          </cell>
        </row>
        <row r="234">
          <cell r="B234" t="str">
            <v>4600022667-001-03350-HDDAT-00007</v>
          </cell>
        </row>
        <row r="235">
          <cell r="B235" t="str">
            <v>4600022667-001-03350-HDDAT-00008</v>
          </cell>
        </row>
        <row r="236">
          <cell r="B236" t="str">
            <v>4600022667-001-03350-HDDEL-00001</v>
          </cell>
        </row>
        <row r="237">
          <cell r="B237" t="str">
            <v>4600022667-001-03350-HDDEL-00002</v>
          </cell>
        </row>
        <row r="238">
          <cell r="B238" t="str">
            <v>4600022667-001-03350-HDDEL-00003</v>
          </cell>
        </row>
        <row r="239">
          <cell r="B239" t="str">
            <v>4600022667-001-03350-HDDEL-00004</v>
          </cell>
        </row>
        <row r="240">
          <cell r="B240" t="str">
            <v>4600022667-001-03350-HDDEL-00005</v>
          </cell>
        </row>
        <row r="241">
          <cell r="B241" t="str">
            <v>4600022667-001-03350-HDDME-00001</v>
          </cell>
        </row>
        <row r="242">
          <cell r="B242" t="str">
            <v>4600022667-001-03350-HDDME-00002</v>
          </cell>
        </row>
        <row r="243">
          <cell r="B243" t="str">
            <v>4600022667-001-03350-HDDME-00003</v>
          </cell>
        </row>
        <row r="244">
          <cell r="B244" t="str">
            <v>4600022667-001-03350-HDDME-00004</v>
          </cell>
        </row>
        <row r="245">
          <cell r="B245" t="str">
            <v>4600022667-001-03350-HDDME-00005</v>
          </cell>
        </row>
        <row r="246">
          <cell r="B246" t="str">
            <v>4600022667-001-03350-HDDME-00006</v>
          </cell>
        </row>
        <row r="247">
          <cell r="B247" t="str">
            <v>4600022667-001-03350-HDDME-00007</v>
          </cell>
        </row>
        <row r="248">
          <cell r="B248" t="str">
            <v>4600022667-001-03350-INFAT-00001</v>
          </cell>
        </row>
        <row r="249">
          <cell r="B249" t="str">
            <v>4600022667-001-03350-INFAT-00002</v>
          </cell>
        </row>
        <row r="250">
          <cell r="B250" t="str">
            <v>4600022667-001-03350-INFCB-00001</v>
          </cell>
        </row>
        <row r="251">
          <cell r="B251" t="str">
            <v>4600022667-001-03350-INFCI-00001</v>
          </cell>
        </row>
        <row r="252">
          <cell r="B252" t="str">
            <v>4600022667-001-03350-INFEL-00001</v>
          </cell>
        </row>
        <row r="253">
          <cell r="B253" t="str">
            <v>4600022667-001-03350-INFIT-00001</v>
          </cell>
        </row>
        <row r="254">
          <cell r="B254" t="str">
            <v>4600022667-001-03350-INFMD-00001</v>
          </cell>
        </row>
        <row r="255">
          <cell r="B255" t="str">
            <v>4600022667-001-03350-INFMD-00002</v>
          </cell>
        </row>
        <row r="256">
          <cell r="B256" t="str">
            <v>4600022667-001-03350-INFMD-00003</v>
          </cell>
        </row>
        <row r="257">
          <cell r="B257" t="str">
            <v>4600022667-001-03350-INFME-00001</v>
          </cell>
        </row>
        <row r="258">
          <cell r="B258" t="str">
            <v>4600022667-001-03350-INFPR-00001</v>
          </cell>
        </row>
        <row r="259">
          <cell r="B259" t="str">
            <v>4600022667-001-03350-LSTAT-00001</v>
          </cell>
        </row>
        <row r="260">
          <cell r="B260" t="str">
            <v>4600022667-001-03350-LSTAT-00002</v>
          </cell>
        </row>
        <row r="261">
          <cell r="B261" t="str">
            <v>4600022667-001-03350-LSTAT-00003</v>
          </cell>
        </row>
        <row r="262">
          <cell r="B262" t="str">
            <v>4600022667-001-03350-LSTAT-00005</v>
          </cell>
        </row>
        <row r="263">
          <cell r="B263" t="str">
            <v>4600022667-001-03350-LSTEL-00001</v>
          </cell>
        </row>
        <row r="264">
          <cell r="B264" t="str">
            <v>4600022667-001-03350-LSTEL-00002</v>
          </cell>
        </row>
        <row r="265">
          <cell r="B265" t="str">
            <v>4600022667-001-03350-LSTME-00001</v>
          </cell>
        </row>
        <row r="266">
          <cell r="B266" t="str">
            <v>4600022667-001-03350-LSTME-00002</v>
          </cell>
        </row>
        <row r="267">
          <cell r="B267" t="str">
            <v>4600022667-001-03350-LSTME-00003</v>
          </cell>
        </row>
        <row r="268">
          <cell r="B268" t="str">
            <v>4600022667-001-03350-MDCCA-00001</v>
          </cell>
        </row>
        <row r="269">
          <cell r="B269" t="str">
            <v>4600022667-001-03350-MDCCA-00002</v>
          </cell>
        </row>
        <row r="270">
          <cell r="B270" t="str">
            <v>4600022667-001-03350-MDCCI-00001</v>
          </cell>
        </row>
        <row r="271">
          <cell r="B271" t="str">
            <v>4600022667-001-03350-MDCCI-00002</v>
          </cell>
        </row>
        <row r="272">
          <cell r="B272" t="str">
            <v>4600022667-001-03350-MDCEL-00001</v>
          </cell>
        </row>
        <row r="273">
          <cell r="B273" t="str">
            <v>4600022667-001-03350-MDCEL-00002</v>
          </cell>
        </row>
        <row r="274">
          <cell r="B274" t="str">
            <v>4600022667-001-03350-MDCEL-00004</v>
          </cell>
        </row>
        <row r="275">
          <cell r="B275" t="str">
            <v>4600022667-001-03350-MDCEL-00005</v>
          </cell>
        </row>
        <row r="276">
          <cell r="B276" t="str">
            <v>4600022667-001-03350-MDCEL-00007</v>
          </cell>
        </row>
        <row r="277">
          <cell r="B277" t="str">
            <v>4600022667-001-03350-MDCEL-00009</v>
          </cell>
        </row>
        <row r="278">
          <cell r="B278" t="str">
            <v>4600022667-001-03350-MDCEL-00013</v>
          </cell>
        </row>
        <row r="279">
          <cell r="B279" t="str">
            <v>4600022667-001-03350-MDCEL-00017</v>
          </cell>
        </row>
        <row r="280">
          <cell r="B280" t="str">
            <v>4600022667-001-03350-MDCEL-00019</v>
          </cell>
        </row>
        <row r="281">
          <cell r="B281" t="str">
            <v>4600022667-001-03350-MDCEL-00020</v>
          </cell>
        </row>
        <row r="282">
          <cell r="B282" t="str">
            <v>4600022667-001-03350-MDCEL-00023</v>
          </cell>
        </row>
        <row r="283">
          <cell r="B283" t="str">
            <v>4600022667-001-03350-MDCEL-00024</v>
          </cell>
        </row>
        <row r="284">
          <cell r="B284" t="str">
            <v>4600022667-001-03350-MDCEL-00025</v>
          </cell>
        </row>
        <row r="285">
          <cell r="B285" t="str">
            <v>4600022667-001-03350-MDCES-00001</v>
          </cell>
        </row>
        <row r="286">
          <cell r="B286" t="str">
            <v>4600022667-001-03350-MDCES-00002</v>
          </cell>
        </row>
        <row r="287">
          <cell r="B287" t="str">
            <v>4600022667-001-03350-MDCES-00003</v>
          </cell>
        </row>
        <row r="288">
          <cell r="B288" t="str">
            <v>4600022667-001-03350-MDCES-00004</v>
          </cell>
        </row>
        <row r="289">
          <cell r="B289" t="str">
            <v>4600022667-001-03350-MDCES-00005</v>
          </cell>
        </row>
        <row r="290">
          <cell r="B290" t="str">
            <v>4600022667-001-03350-MDCES-00006</v>
          </cell>
        </row>
        <row r="291">
          <cell r="B291" t="str">
            <v>4600022667-001-03350-MDCES-00007</v>
          </cell>
        </row>
        <row r="292">
          <cell r="B292" t="str">
            <v>4600022667-001-03350-MDCHD-00001</v>
          </cell>
        </row>
        <row r="293">
          <cell r="B293" t="str">
            <v>4600022667-001-03350-MDCHD-00002</v>
          </cell>
        </row>
        <row r="294">
          <cell r="B294" t="str">
            <v>4600022667-001-03350-MDCME-00002</v>
          </cell>
        </row>
        <row r="295">
          <cell r="B295" t="str">
            <v>4600022667-001-03350-MDCME-00004</v>
          </cell>
        </row>
        <row r="296">
          <cell r="B296" t="str">
            <v>4600022667-001-03350-MDCME-00005</v>
          </cell>
        </row>
        <row r="297">
          <cell r="B297" t="str">
            <v>4600022667-001-03350-MDCPR-00001</v>
          </cell>
        </row>
        <row r="298">
          <cell r="B298" t="str">
            <v>4600022667-001-03350-MEMMD-00002</v>
          </cell>
        </row>
        <row r="299">
          <cell r="B299" t="str">
            <v>4600022667-001-03350-MEMMD-00003</v>
          </cell>
        </row>
        <row r="300">
          <cell r="B300" t="str">
            <v>4600022667-001-03350-MEMMD-00004</v>
          </cell>
        </row>
        <row r="301">
          <cell r="B301" t="str">
            <v>4600022667-001-03350-MEMMD-00005</v>
          </cell>
        </row>
        <row r="302">
          <cell r="B302" t="str">
            <v>4600022667-001-03350-MEMMD-00006</v>
          </cell>
        </row>
        <row r="303">
          <cell r="B303" t="str">
            <v>4600022667-001-03350-MEMMD-00007</v>
          </cell>
        </row>
        <row r="304">
          <cell r="B304" t="str">
            <v>4600022667-001-03350-MEMMD-00010</v>
          </cell>
        </row>
        <row r="305">
          <cell r="B305" t="str">
            <v>4600022667-001-03350-MNLMD-00001</v>
          </cell>
        </row>
        <row r="306">
          <cell r="B306" t="str">
            <v>4600022667-001-03350-PLNMD-00003</v>
          </cell>
        </row>
        <row r="307">
          <cell r="B307" t="str">
            <v>4600022667-097-03350-100CA-00001</v>
          </cell>
        </row>
        <row r="308">
          <cell r="B308" t="str">
            <v>4600022667-097-03350-100CA-00002</v>
          </cell>
        </row>
        <row r="309">
          <cell r="B309" t="str">
            <v>4600022667-097-03350-101CA-00001</v>
          </cell>
        </row>
        <row r="310">
          <cell r="B310" t="str">
            <v>4600022667-097-03350-202EL-00001</v>
          </cell>
        </row>
        <row r="311">
          <cell r="B311" t="str">
            <v>4600022667-097-03350-202EL-00003</v>
          </cell>
        </row>
        <row r="312">
          <cell r="B312" t="str">
            <v>4600022667-097-03350-202EL-00004</v>
          </cell>
        </row>
        <row r="313">
          <cell r="B313" t="str">
            <v>4600022667-097-03350-202ES-00003</v>
          </cell>
        </row>
        <row r="314">
          <cell r="B314" t="str">
            <v>4600022667-097-03350-202ES-00004</v>
          </cell>
        </row>
        <row r="315">
          <cell r="B315" t="str">
            <v>4600022667-097-03350-205ES-00005</v>
          </cell>
        </row>
        <row r="316">
          <cell r="B316" t="str">
            <v>4600022667-097-03350-205ES-00006</v>
          </cell>
        </row>
        <row r="317">
          <cell r="B317" t="str">
            <v>4600022667-097-03350-209EL-00001</v>
          </cell>
        </row>
        <row r="318">
          <cell r="B318" t="str">
            <v>4600022667-097-03350-209EL-00002</v>
          </cell>
        </row>
        <row r="319">
          <cell r="B319" t="str">
            <v>4600022667-097-03350-209EL-00003</v>
          </cell>
        </row>
        <row r="320">
          <cell r="B320" t="str">
            <v>4600022667-097-03350-210EL-00001</v>
          </cell>
        </row>
        <row r="321">
          <cell r="B321" t="str">
            <v>4600022667-097-03350-210EL-00002</v>
          </cell>
        </row>
        <row r="322">
          <cell r="B322" t="str">
            <v>4600022667-097-03350-210EL-00003</v>
          </cell>
        </row>
        <row r="323">
          <cell r="B323" t="str">
            <v>4600022667-097-03350-302ES-00003</v>
          </cell>
        </row>
        <row r="324">
          <cell r="B324" t="str">
            <v>4600022667-097-03350-302ES-00004</v>
          </cell>
        </row>
        <row r="325">
          <cell r="B325" t="str">
            <v>4600022667-097-03350-ESTEL-00001</v>
          </cell>
        </row>
        <row r="326">
          <cell r="B326" t="str">
            <v>4600022667-097-03350-MDCES-00003</v>
          </cell>
        </row>
        <row r="327">
          <cell r="B327" t="str">
            <v>4600022667-097-03350-MDCES-00004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Espinoza V." refreshedDate="45957.737518865739" createdVersion="8" refreshedVersion="8" minRefreshableVersion="3" recordCount="1028" xr:uid="{D57EA878-57F1-4F12-95C7-433BD0323D47}">
  <cacheSource type="worksheet">
    <worksheetSource ref="D6:M1034" sheet="Recibido en Propuesta"/>
  </cacheSource>
  <cacheFields count="10">
    <cacheField name="Descripcion" numFmtId="0">
      <sharedItems containsBlank="1"/>
    </cacheField>
    <cacheField name="Rev." numFmtId="0">
      <sharedItems containsBlank="1" containsMixedTypes="1" containsNumber="1" containsInteger="1" minValue="0" maxValue="13"/>
    </cacheField>
    <cacheField name="Fecha Recep" numFmtId="0">
      <sharedItems containsNonDate="0" containsDate="1" containsString="0" containsBlank="1" minDate="2024-02-12T00:00:00" maxDate="2025-08-21T00:00:00"/>
    </cacheField>
    <cacheField name="TIPO" numFmtId="0">
      <sharedItems containsBlank="1" count="33">
        <m/>
        <s v="CORREO"/>
        <s v="FORMULARIO"/>
        <s v="BASES"/>
        <s v="INSTRUCTIVO"/>
        <s v="INFORME"/>
        <s v="NORMA"/>
        <s v="PROCEDIMIENTO"/>
        <s v="LISTADO"/>
        <s v="MAQUETA"/>
        <s v="PLANO"/>
        <s v="ESP. TECNICA"/>
        <s v="CRITERIO"/>
        <s v="CUBICACION"/>
        <s v="HOJA DE DATOS"/>
        <s v="P&amp;ID"/>
        <s v="ISOMETRICO"/>
        <s v="MEM. CALCULO"/>
        <s v="PRESENTACION"/>
        <s v="REGLAMENTO"/>
        <s v="ARCHIVO"/>
        <s v="GUIA"/>
        <s v="ESTANDAR"/>
        <s v="FICHA"/>
        <s v="MANUAL"/>
        <s v="MATRIZ"/>
        <s v="CARTA"/>
        <s v="RESOLUCION"/>
        <s v="MAPA"/>
        <s v="SKETCH"/>
        <s v="ITEMIZADO"/>
        <s v="IMAGEN"/>
        <s v="COTIZACION"/>
      </sharedItems>
    </cacheField>
    <cacheField name="Status" numFmtId="0">
      <sharedItems containsBlank="1"/>
    </cacheField>
    <cacheField name="Nº Hoja" numFmtId="0">
      <sharedItems containsBlank="1" containsMixedTypes="1" containsNumber="1" containsInteger="1" minValue="1" maxValue="229"/>
    </cacheField>
    <cacheField name="Especialidad" numFmtId="0">
      <sharedItems containsBlank="1"/>
    </cacheField>
    <cacheField name="CARPETA" numFmtId="0">
      <sharedItems containsBlank="1"/>
    </cacheField>
    <cacheField name="APLICA ING" numFmtId="0">
      <sharedItems containsBlank="1" count="4">
        <m/>
        <s v="NO"/>
        <s v="SI"/>
        <s v="SI-"/>
      </sharedItems>
    </cacheField>
    <cacheField name="Recibidos" numFmtId="0">
      <sharedItems containsBlank="1" count="294">
        <m/>
        <e v="#N/A"/>
        <s v="4600022667-001-03350-100AR-00001"/>
        <s v="4600022667-001-03350-100AR-00002"/>
        <s v="4600022667-001-03350-100AR-00003"/>
        <s v="4600022667-001-03350-300AR-00001"/>
        <s v="4600022667-001-03350-300AR-00002"/>
        <s v="4600022667-001-03350-300AR-00003"/>
        <s v="4600022667-001-03350-300AR-00004"/>
        <s v="4600022667-001-03350-300AR-00005"/>
        <s v="4600022667-001-03350-ESPAR-00001"/>
        <s v="4600022667-001-03350-ESPAR-00002"/>
        <s v="4600022667-001-03350-ESPAR-00003"/>
        <s v="4600022667-001-03350-002AT-00001"/>
        <s v="4600022667-001-03350-002AT-00002"/>
        <s v="4600022667-001-03350-002AT-00003"/>
        <s v="4600022667-001-03350-105AT-00001"/>
        <s v="4600022667-001-03350-105AT-00002"/>
        <s v="4600022667-001-03350-105AT-00003"/>
        <s v="4600022667-001-03350-202AT-00001"/>
        <s v="4600022667-001-03350-202AT-00002"/>
        <s v="4600022667-001-03350-208AT-00001"/>
        <s v="4600022667-001-03350-221AT-00001"/>
        <s v="4600022667-001-03350-221AT-00002"/>
        <s v="4600022667-001-03350-221AT-00003"/>
        <s v="4600022667-001-03350-226AT-00001"/>
        <s v="4600022667-001-03350-226AT-00002"/>
        <s v="4600022667-001-03350-226AT-00003"/>
        <s v="4600022667-001-03350-226AT-00004"/>
        <s v="4600022667-001-03350-226AT-00005"/>
        <s v="4600022667-001-03350-226AT-00006"/>
        <s v="4600022667-001-03350-226AT-00007"/>
        <s v="4600022667-001-03350-226AT-00008"/>
        <s v="4600022667-001-03350-226AT-00009"/>
        <s v="4600022667-001-03350-226AT-00010"/>
        <s v="4600022667-001-03350-226AT-00011"/>
        <s v="4600022667-001-03350-226AT-00012"/>
        <s v="4600022667-001-03350-226AT-00013"/>
        <s v="4600022667-001-03350-226AT-00014"/>
        <s v="4600022667-001-03350-226AT-00015"/>
        <s v="4600022667-001-03350-227AT-00001"/>
        <s v="4600022667-001-03350-227AT-00002"/>
        <s v="4600022667-001-03350-227AT-00004"/>
        <s v="4600022667-001-03350-227AT-00005"/>
        <s v="4600022667-001-03350-CRDAT-00001"/>
        <s v="4600022667-001-03350-CUBAT-00001"/>
        <s v="4600022667-001-03350-ESPAT-00001"/>
        <s v="4600022667-001-03350-ESPAT-00005"/>
        <s v="4600022667-001-03350-HDDAT-00001"/>
        <s v="4600022667-001-03350-HDDAT-00002"/>
        <s v="4600022667-001-03350-HDDAT-00003"/>
        <s v="4600022667-001-03350-HDDAT-00004"/>
        <s v="4600022667-001-03350-HDDAT-00005"/>
        <s v="4600022667-001-03350-HDDAT-00007"/>
        <s v="4600022667-001-03350-HDDAT-00008"/>
        <s v="4600022667-001-03350-INFAT-00001"/>
        <s v="4600022667-001-03350-LSTAT-00001"/>
        <s v="4600022667-001-03350-LSTAT-00002"/>
        <s v="4600022667-001-03350-LSTAT-00003"/>
        <s v="4600022667-001-03350-LSTAT-00005"/>
        <s v="4600022667-001-03350-102CA-00006"/>
        <s v="4600022667-001-03350-102CA-00008"/>
        <s v="4600022667-001-03350-102CA-00009"/>
        <s v="4600022667-001-03350-102CA-00011"/>
        <s v="4600022667-001-03350-102CA-00012"/>
        <s v="4600022667-001-03350-102CA-00013"/>
        <s v="4600022667-001-03350-102CA-00014"/>
        <s v="4600022667-001-03350-102CA-00015"/>
        <s v="4600022667-001-03350-201CA-00001"/>
        <s v="4600022667-001-03350-201CA-00002"/>
        <s v="4600022667-001-03350-201CA-00003"/>
        <s v="4600022667-001-03350-201CA-00004"/>
        <s v="4600022667-001-03350-201CA-00005"/>
        <s v="4600022667-001-03350-201CA-00006"/>
        <s v="4600022667-001-03350-205CA-00001"/>
        <s v="4600022667-001-03350-205CA-00002"/>
        <s v="4600022667-001-03350-205CA-00003"/>
        <s v="4600022667-001-03350-205CA-00004"/>
        <s v="4600022667-001-03350-205CA-00005"/>
        <s v="4600022667-001-03350-205CA-00006"/>
        <s v="4600022667-001-03350-205CA-00007"/>
        <s v="4600022667-001-03350-205CA-00008"/>
        <s v="4600022667-001-03350-502CA-00001"/>
        <s v="4600022667-001-03350-502CA-00002"/>
        <s v="4600022667-001-03350-502CA-00003"/>
        <s v="4600022667-001-03350-502CA-00004"/>
        <s v="4600022667-001-03350-502CA-00005"/>
        <s v="4600022667-001-03350-502CA-00006"/>
        <s v="4600022667-001-03350-502CA-00007"/>
        <s v="4600022667-001-03350-502CA-00008"/>
        <s v="4600022667-001-03350-502CA-00009"/>
        <s v="4600022667-001-03350-502CA-00010"/>
        <s v="4600022667-001-03350-502CA-00011"/>
        <s v="4600022667-001-03350-CRDCA-00001"/>
        <s v="4600022667-001-03350-CUBCA-00001"/>
        <s v="4600022667-001-03350-MDCCA-00001"/>
        <s v="4600022667-001-03350-MDCCA-00002"/>
        <s v="4600022667-001-03350-000CA-00001"/>
        <s v="4600022667-001-03350-000CA-00002"/>
        <s v="4600022667-001-03350-000CA-00003"/>
        <s v="4600022667-001-03350-100CA-00001"/>
        <s v="4600022667-001-03350-100CA-00002"/>
        <s v="4600022667-001-03350-100CA-00003"/>
        <s v="4600022667-001-03350-102CA-00001"/>
        <s v="4600022667-001-03350-102CA-00002"/>
        <s v="4600022667-001-03350-102CA-00003"/>
        <s v="4600022667-001-03350-102CA-00004"/>
        <s v="4600022667-001-03350-102CA-00005"/>
        <s v="4600022667-001-03350-102CA-00007"/>
        <s v="4600022667-001-03350-102CA-00010"/>
        <s v="4600022667-001-03350-INFCB-00001"/>
        <s v="4600022667-001-03350-100CI-00001"/>
        <s v="4600022667-001-03350-100CI-00004"/>
        <s v="4600022667-001-03350-202CI-00001"/>
        <s v="4600022667-001-03350-202CI-00002"/>
        <s v="4600022667-001-03350-202CI-00003"/>
        <s v="4600022667-001-03350-202CI-00004"/>
        <s v="4600022667-001-03350-202CI-00005"/>
        <s v="4600022667-001-03350-202CI-00006"/>
        <s v="4600022667-001-03350-202CI-00007"/>
        <s v="4600022667-001-03350-202CI-00009"/>
        <s v="4600022667-001-03350-600CI-00001"/>
        <s v="4600022667-001-03350-600CI-00006"/>
        <s v="4600022667-001-03350-INFCI-00001"/>
        <s v="4600022667-001-03350-MDCCI-00001"/>
        <s v="4600022667-001-03350-MDCCI-00002"/>
        <s v="4600022667-001-03350-002EL-00005"/>
        <s v="4600022667-001-03350-002EL-00006"/>
        <s v="4600022667-001-03350-002EL-00007"/>
        <s v="4600022667-001-03350-100EL-00005"/>
        <s v="4600022667-001-03350-100EL-00006"/>
        <s v="4600022667-001-03350-100EL-00007"/>
        <s v="4600022667-001-03350-110EL-00001"/>
        <s v="4600022667-001-03350-202EL-00001"/>
        <s v="4600022667-001-03350-202EL-00005"/>
        <s v="4600022667-001-03350-202EL-00006"/>
        <s v="4600022667-001-03350-205EL-00001"/>
        <s v="4600022667-001-03350-205EL-00002"/>
        <s v="4600022667-001-03350-205EL-00003"/>
        <s v="4600022667-001-03350-205EL-00004"/>
        <s v="4600022667-001-03350-208EL-00013"/>
        <s v="4600022667-001-03350-208EL-00016"/>
        <s v="4600022667-001-03350-208EL-00017"/>
        <s v="4600022667-001-03350-208EL-00018"/>
        <s v="4600022667-001-03350-208EL-00019"/>
        <s v="4600022667-001-03350-208EL-00020"/>
        <s v="4600022667-001-03350-210EL-00002"/>
        <s v="4600022667-001-03350-210EL-00003"/>
        <s v="4600022667-001-03350-210EL-00004"/>
        <s v="4600022667-001-03350-210EL-00005"/>
        <s v="4600022667-001-03350-210EL-00006"/>
        <s v="4600022667-001-03350-210EL-00007"/>
        <s v="4600022667-001-03350-212EL-00001"/>
        <s v="4600022667-001-03350-212EL-00002"/>
        <s v="4600022667-001-03350-212EL-00003"/>
        <s v="4600022667-001-03350-212EL-00007"/>
        <s v="4600022667-001-03350-212EL-00008"/>
        <s v="4600022667-001-03350-212EL-00011"/>
        <s v="4600022667-001-03350-CRDEL-00001"/>
        <s v="4600022667-001-03350-CUBEL-00001"/>
        <s v="4600022667-001-03350-ESPEL-00002"/>
        <s v="4600022667-001-03350-ESPEL-00003"/>
        <s v="4600022667-001-03350-ESPEL-00004"/>
        <s v="4600022667-001-03350-ESPEL-00005"/>
        <s v="4600022667-001-03350-ESPEL-00006"/>
        <s v="4600022667-001-03350-ESPEL-00007"/>
        <s v="4600022667-001-03350-HDDEL-00001"/>
        <s v="4600022667-001-03350-HDDEL-00002"/>
        <s v="4600022667-001-03350-HDDEL-00003"/>
        <s v="4600022667-001-03350-HDDEL-00004"/>
        <s v="4600022667-001-03350-HDDEL-00005"/>
        <s v="4600022667-001-03350-INFEL-00001"/>
        <s v="4600022667-001-03350-LSTEL-00001"/>
        <s v="4600022667-001-03350-LSTEL-00002"/>
        <s v="4600022667-001-03350-MDCEL-00002"/>
        <s v="4600022667-001-03350-MDCEL-00004"/>
        <s v="4600022667-001-03350-MDCEL-00005"/>
        <s v="4600022667-001-03350-MDCEL-00007"/>
        <s v="4600022667-001-03350-MDCEL-00009"/>
        <s v="4600022667-001-03350-MDCEL-00013"/>
        <s v="4600022667-001-03350-MDCEL-00017"/>
        <s v="4600022667-001-03350-MDCEL-00019"/>
        <s v="4600022667-001-03350-MDCEL-00020"/>
        <s v="4600022667-001-03350-MDCEL-00023"/>
        <s v="4600022667-001-03350-MDCEL-00024"/>
        <s v="4600022667-001-03350-202ES-00001"/>
        <s v="4600022667-001-03350-202ES-00002"/>
        <s v="4600022667-001-03350-202ES-00003"/>
        <s v="4600022667-001-03350-202ES-00004"/>
        <s v="4600022667-001-03350-202ES-00005"/>
        <s v="4600022667-001-03350-202ES-00006"/>
        <s v="4600022667-001-03350-202ES-00007"/>
        <s v="4600022667-001-03350-202ES-00008"/>
        <s v="4600022667-001-03350-202ES-00009"/>
        <s v="4600022667-001-03350-202ES-00011"/>
        <s v="4600022667-001-03350-202ES-00012"/>
        <s v="4600022667-001-03350-202ES-00013"/>
        <s v="4600022667-001-03350-205ES-00001"/>
        <s v="4600022667-001-03350-205ES-00002"/>
        <s v="4600022667-001-03350-205ES-00003"/>
        <s v="4600022667-001-03350-205ES-00004"/>
        <s v="4600022667-001-03350-205ES-00005"/>
        <s v="4600022667-001-03350-205ES-00006"/>
        <s v="4600022667-001-03350-205ES-00007"/>
        <s v="4600022667-001-03350-205ES-00008"/>
        <s v="4600022667-001-03350-205ES-00009"/>
        <s v="4600022667-001-03350-205ES-00010"/>
        <s v="4600022667-001-03350-205ES-00011"/>
        <s v="4600022667-001-03350-205ES-00012"/>
        <s v="4600022667-001-03350-205ES-00013"/>
        <s v="4600022667-001-03350-205ES-00014"/>
        <s v="4600022667-001-03350-205ES-00015"/>
        <s v="4600022667-001-03350-205ES-00016"/>
        <s v="4600022667-001-03350-205ES-00017"/>
        <s v="4600022667-001-03350-205ES-00023"/>
        <s v="4600022667-001-03350-205ES-00024"/>
        <s v="4600022667-001-03350-302ES-00001"/>
        <s v="4600022667-001-03350-302ES-00002"/>
        <s v="4600022667-001-03350-302ES-00003"/>
        <s v="4600022667-001-03350-302ES-00004"/>
        <s v="4600022667-001-03350-302ES-00005"/>
        <s v="4600022667-001-03350-302ES-00006"/>
        <s v="4600022667-001-03350-302ES-00007"/>
        <s v="4600022667-001-03350-302ES-00008"/>
        <s v="4600022667-001-03350-302ES-00009"/>
        <s v="4600022667-001-03350-302ES-00010"/>
        <s v="4600022667-001-03350-302ES-00011"/>
        <s v="4600022667-001-03350-302ES-00012"/>
        <s v="4600022667-001-03350-302ES-00013"/>
        <s v="4600022667-001-03350-302ES-00014"/>
        <s v="4600022667-001-03350-ESPES-00001"/>
        <s v="4600022667-001-03350-ESPES-00002"/>
        <s v="4600022667-001-03350-MDCES-00001"/>
        <s v="4600022667-001-03350-MDCES-00002"/>
        <s v="4600022667-001-03350-MDCES-00003"/>
        <s v="4600022667-001-03350-MDCES-00004"/>
        <s v="4600022667-001-03350-MDCES-00005"/>
        <s v="4600022667-001-03350-MDCES-00006"/>
        <s v="4600022667-001-03350-MDCES-00007"/>
        <s v="4600022667-001-03350-MDCHD-00001"/>
        <s v="4600022667-001-03350-MDCHD-00002"/>
        <s v="4600022667-001-03350-INFIT-00001"/>
        <s v="4600022667-001-03350-ADDMD-00001"/>
        <s v="4600022667-001-03350-ADDMD-00002"/>
        <s v="4600022667-001-03350-ADDMD-00003"/>
        <s v="4600022667-001-03350-ADDMD-00004"/>
        <s v="4600022667-001-03350-INFMD-00001"/>
        <s v="4600022667-001-03350-INFMD-00002"/>
        <s v="4600022667-001-03350-INFMD-00003"/>
        <s v="4600022667-001-03350-MEMMD-00002"/>
        <s v="4600022667-001-03350-MEMMD-00003"/>
        <s v="4600022667-001-03350-MEMMD-00004"/>
        <s v="4600022667-001-03350-MEMMD-00005"/>
        <s v="4600022667-001-03350-MEMMD-00006"/>
        <s v="4600022667-001-03350-MEMMD-00007"/>
        <s v="4600022667-001-03350-MEMMD-00010"/>
        <s v="4600022667-001-03350-MNLMD-00001"/>
        <s v="4600022667-001-03350-100ME-00001"/>
        <s v="4600022667-001-03350-100ME-00002"/>
        <s v="4600022667-001-03350-101ME-00001"/>
        <s v="4600022667-001-03350-101ME-00002"/>
        <s v="4600022667-001-03350-101ME-00003"/>
        <s v="4600022667-001-03350-103ME-00001"/>
        <s v="4600022667-001-03350-103ME-00002"/>
        <s v="4600022667-001-03350-103ME-00003"/>
        <s v="4600022667-001-03350-103ME-00004"/>
        <s v="4600022667-001-03350-CRDME-00001"/>
        <s v="4600022667-001-03350-ESPME-00001"/>
        <s v="4600022667-001-03350-ESPME-00002"/>
        <s v="4600022667-001-03350-ESPME-00003"/>
        <s v="4600022667-001-03350-ESPME-00004"/>
        <s v="4600022667-001-03350-ESPME-00005"/>
        <s v="4600022667-001-03350-ESPME-00006"/>
        <s v="4600022667-001-03350-ESPME-00007"/>
        <s v="4600022667-001-03350-HDDME-00001"/>
        <s v="4600022667-001-03350-HDDME-00002"/>
        <s v="4600022667-001-03350-HDDME-00003"/>
        <s v="4600022667-001-03350-HDDME-00004"/>
        <s v="4600022667-001-03350-HDDME-00005"/>
        <s v="4600022667-001-03350-HDDME-00006"/>
        <s v="4600022667-001-03350-HDDME-00007"/>
        <s v="4600022667-001-03350-LSTME-00001"/>
        <s v="4600022667-001-03350-LSTME-00002"/>
        <s v="4600022667-001-03350-LSTME-00003"/>
        <s v="4600022667-001-03350-MDCME-00002"/>
        <s v="4600022667-001-03350-MDCME-00004"/>
        <s v="4600022667-001-03350-MDCME-00005"/>
        <s v="4600022667-001-03350-202PR-00001"/>
        <s v="4600022667-001-03350-500PR-00001"/>
        <s v="4600022667-001-03350-CRDPR-00001"/>
        <s v="4600022667-001-03350-INFPR-00001"/>
        <s v="4600022667-001-03350-MDCPR-00001"/>
        <s v="4600022667-001-03350-HDDAT-00006"/>
        <s v="S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8">
  <r>
    <m/>
    <m/>
    <m/>
    <x v="0"/>
    <m/>
    <m/>
    <m/>
    <m/>
    <x v="0"/>
    <x v="0"/>
  </r>
  <r>
    <s v="CORREO RESPALDO - CORPORACIÓN NACIONAL DEL COBRE LE HA INVITADO A PARTICIPAR EN UN EVENTO_ RFP MONTAJE ESPESADOR DE CABEZA PMFC -DAND_"/>
    <s v="-"/>
    <d v="2024-02-12T00:00:00"/>
    <x v="1"/>
    <s v="ESTUDIO"/>
    <s v="-"/>
    <s v="GENERAL"/>
    <m/>
    <x v="1"/>
    <x v="0"/>
  </r>
  <r>
    <s v="FORMULARIO DE ANTECEDENTES - ANT-01 - IDENTIFICACION DE PROPONENTE"/>
    <n v="0"/>
    <d v="2024-02-12T00:00:00"/>
    <x v="2"/>
    <s v="ESTUDIO"/>
    <s v="-"/>
    <s v="ANTECEDENTES"/>
    <m/>
    <x v="1"/>
    <x v="0"/>
  </r>
  <r>
    <s v="FORMULARIO DE ANTECEDENTES - ANT-02 - PRECALIFICACION COMERCIAL"/>
    <n v="0"/>
    <d v="2024-02-12T00:00:00"/>
    <x v="2"/>
    <s v="ESTUDIO"/>
    <s v="-"/>
    <s v="ANTECEDENTES"/>
    <m/>
    <x v="1"/>
    <x v="0"/>
  </r>
  <r>
    <s v="FORMULARIO DE ANTECEDENTES - ANT-03 - PRECALIFICACION FINANCIERA"/>
    <n v="0"/>
    <d v="2024-02-12T00:00:00"/>
    <x v="2"/>
    <s v="ESTUDIO"/>
    <s v="-"/>
    <s v="ANTECEDENTES"/>
    <m/>
    <x v="1"/>
    <x v="0"/>
  </r>
  <r>
    <s v="FORMULARIO DE ANTECEDENTES - ANT-04 - ANTECEDENTES TECNICOS Y EXPERIENCIA"/>
    <n v="0"/>
    <d v="2024-02-12T00:00:00"/>
    <x v="2"/>
    <s v="OBSOLETO"/>
    <s v="-"/>
    <s v="ANTECEDENTES"/>
    <m/>
    <x v="1"/>
    <x v="0"/>
  </r>
  <r>
    <s v="FORMULARIO DE ANTECEDENTES - ANT-05 - DECLARACION DE CONFORMIDAD"/>
    <n v="0"/>
    <d v="2024-02-12T00:00:00"/>
    <x v="2"/>
    <s v="ESTUDIO"/>
    <s v="-"/>
    <s v="ANTECEDENTES"/>
    <m/>
    <x v="1"/>
    <x v="0"/>
  </r>
  <r>
    <s v="FORMULARIO DE ANTECEDENTES - ANT-06 - DECLARACIONES JURADAS DE PERSONAS JURIDICAS"/>
    <n v="0"/>
    <d v="2024-02-12T00:00:00"/>
    <x v="2"/>
    <s v="ESTUDIO"/>
    <s v="-"/>
    <s v="ANTECEDENTES"/>
    <m/>
    <x v="1"/>
    <x v="0"/>
  </r>
  <r>
    <s v="FORMULARIO DE ANTECEDENTES - ANT-07 - CERTIFICADO DE RESULTADOS DE SEGURIDAD"/>
    <n v="0"/>
    <d v="2024-02-12T00:00:00"/>
    <x v="2"/>
    <s v="ESTUDIO"/>
    <s v="-"/>
    <s v="ANTECEDENTES"/>
    <m/>
    <x v="1"/>
    <x v="0"/>
  </r>
  <r>
    <s v="FORMULARIO DE ANTECEDENTES - ANT-08 - CARTA ACEPTACION CORREO ELECTRONICO"/>
    <n v="0"/>
    <d v="2024-02-12T00:00:00"/>
    <x v="2"/>
    <s v="ESTUDIO"/>
    <s v="-"/>
    <s v="ANTECEDENTES"/>
    <m/>
    <x v="1"/>
    <x v="0"/>
  </r>
  <r>
    <s v="FORMULARIO DE ANTECEDENTES - ANT-09 - CONSTANCIA DE REUNION / VISTA A TERRENO"/>
    <n v="0"/>
    <d v="2024-02-12T00:00:00"/>
    <x v="2"/>
    <s v="ESTUDIO"/>
    <s v="-"/>
    <s v="ANTECEDENTES"/>
    <m/>
    <x v="1"/>
    <x v="0"/>
  </r>
  <r>
    <s v="FORMULARIO DE ANTECEDENTES - ANT-10 - EXCLUSIONES Y ALCANCES DE LA OFERTA"/>
    <n v="0"/>
    <d v="2024-02-12T00:00:00"/>
    <x v="2"/>
    <s v="ESTUDIO"/>
    <s v="-"/>
    <s v="ANTECEDENTES"/>
    <m/>
    <x v="1"/>
    <x v="0"/>
  </r>
  <r>
    <s v="BASES TECNICAS LICITACIÓN PÚBLICA - “MONTAJE ESPESADOR DE CABEZA, PMFC-DAND”"/>
    <n v="0"/>
    <d v="2024-02-12T00:00:00"/>
    <x v="3"/>
    <s v="ESTUDIO"/>
    <n v="139"/>
    <s v="TECNICO"/>
    <m/>
    <x v="1"/>
    <x v="0"/>
  </r>
  <r>
    <s v="FORMULARIO ECONOMICO - ECO-00 - RESUMEN DE OFERTA ECONOMICA"/>
    <n v="0"/>
    <d v="2024-02-12T00:00:00"/>
    <x v="2"/>
    <s v="ESTUDIO"/>
    <s v="-"/>
    <s v="ECONOMICO"/>
    <m/>
    <x v="1"/>
    <x v="0"/>
  </r>
  <r>
    <s v="FORMULARIO ECONOMICO - ECO-01 - ITEMIZADO DE PRESUPUESTO"/>
    <n v="0"/>
    <d v="2024-02-12T00:00:00"/>
    <x v="2"/>
    <s v="OBSOLETO"/>
    <s v="-"/>
    <s v="ECONOMICO"/>
    <m/>
    <x v="1"/>
    <x v="0"/>
  </r>
  <r>
    <s v="FORMULARIO ECONOMICO - ECO-01A - ITEMIZADO DE PRESUPUESTO DESGOLSADO"/>
    <n v="0"/>
    <d v="2024-02-12T00:00:00"/>
    <x v="2"/>
    <s v="OBSOLETO"/>
    <s v="-"/>
    <s v="ECONOMICO"/>
    <m/>
    <x v="1"/>
    <x v="0"/>
  </r>
  <r>
    <s v="FORMULARIO ECONOMICO - ECO-02 - ANALISIS DE PRECIOS UNITARIOS"/>
    <n v="0"/>
    <d v="2024-02-12T00:00:00"/>
    <x v="2"/>
    <s v="ESTUDIO"/>
    <s v="-"/>
    <s v="ECONOMICO"/>
    <m/>
    <x v="1"/>
    <x v="0"/>
  </r>
  <r>
    <s v="FORMULARIO ECONOMICO - ECO-03 - USO DE RECURSOS DE COSTO DIRECTO"/>
    <n v="0"/>
    <d v="2024-02-12T00:00:00"/>
    <x v="2"/>
    <s v="ESTUDIO"/>
    <s v="-"/>
    <s v="ECONOMICO"/>
    <m/>
    <x v="1"/>
    <x v="0"/>
  </r>
  <r>
    <s v="FORMULARIO ECONOMICO - ECO-04 - DETALLE DE COSTOS INDIRECTOS"/>
    <n v="0"/>
    <d v="2024-02-12T00:00:00"/>
    <x v="2"/>
    <s v="ESTUDIO"/>
    <s v="-"/>
    <s v="ECONOMICO"/>
    <m/>
    <x v="1"/>
    <x v="0"/>
  </r>
  <r>
    <s v="FORMULARIO ECONOMICO - ECO-05 - DETALLE DE REMUNERACIONES DE MANO DE OBRA"/>
    <n v="0"/>
    <d v="2024-02-12T00:00:00"/>
    <x v="2"/>
    <s v="ESTUDIO"/>
    <s v="-"/>
    <s v="ECONOMICO"/>
    <m/>
    <x v="1"/>
    <x v="0"/>
  </r>
  <r>
    <s v="FORMULARIO ECONOMICO - ECO-06 - JUSTIFICACIÓN VALORES DE MANO DE OBRA"/>
    <n v="0"/>
    <d v="2024-02-12T00:00:00"/>
    <x v="2"/>
    <s v="ESTUDIO"/>
    <s v="-"/>
    <s v="ECONOMICO"/>
    <m/>
    <x v="1"/>
    <x v="0"/>
  </r>
  <r>
    <s v="FORMULARIO ECONOMICO - ECO-07 - VALORES MAQUINARIA, EQUIPOS Y VEHÍCULOS"/>
    <n v="0"/>
    <d v="2024-02-12T00:00:00"/>
    <x v="2"/>
    <s v="ESTUDIO"/>
    <s v="-"/>
    <s v="ECONOMICO"/>
    <m/>
    <x v="1"/>
    <x v="0"/>
  </r>
  <r>
    <s v="FORMULARIO ECONOMICO - ECO-08 - DESGLOSE DE GASTOS GENERALES"/>
    <n v="0"/>
    <d v="2024-02-12T00:00:00"/>
    <x v="2"/>
    <s v="ESTUDIO"/>
    <s v="-"/>
    <s v="ECONOMICO"/>
    <m/>
    <x v="1"/>
    <x v="0"/>
  </r>
  <r>
    <s v="FORMULARIO ECONOMICO - ECO-10 - EXCLUSIONES ECONÓMICAS"/>
    <n v="0"/>
    <d v="2024-02-12T00:00:00"/>
    <x v="2"/>
    <s v="ESTUDIO"/>
    <s v="-"/>
    <s v="ECONOMICO"/>
    <m/>
    <x v="1"/>
    <x v="0"/>
  </r>
  <r>
    <s v="FORMATO CONSULTAS BASES LICITACION"/>
    <s v="-"/>
    <d v="2024-02-12T00:00:00"/>
    <x v="2"/>
    <s v="ESTUDIO"/>
    <s v="-"/>
    <s v="CONSULTAS"/>
    <m/>
    <x v="1"/>
    <x v="0"/>
  </r>
  <r>
    <s v="INSTRUCCIONES A LOS PROPONENTES - MONTAJE ESPESADOR DE CABEZA PMFC -DAND"/>
    <n v="0"/>
    <d v="2024-02-12T00:00:00"/>
    <x v="4"/>
    <s v="ESTUDIO"/>
    <n v="17"/>
    <s v="GENERAL"/>
    <m/>
    <x v="1"/>
    <x v="0"/>
  </r>
  <r>
    <s v="RESUMEN EJECUTIVO - MONTAJE ESPESADOR DE CABEZA PMFC -DAND"/>
    <n v="0"/>
    <d v="2024-02-12T00:00:00"/>
    <x v="5"/>
    <s v="ESTUDIO"/>
    <n v="8"/>
    <s v="GENERAL"/>
    <m/>
    <x v="1"/>
    <x v="0"/>
  </r>
  <r>
    <s v="FORMULARIO TECNICO - TEC-00 - FORMULARIO DESVIACIONES A LAS BASES"/>
    <n v="0"/>
    <d v="2024-02-12T00:00:00"/>
    <x v="2"/>
    <s v="ESTUDIO"/>
    <s v="-"/>
    <s v="TECNICO"/>
    <m/>
    <x v="1"/>
    <x v="0"/>
  </r>
  <r>
    <s v="FORMULARIO TECNICO - TEC-01 - ORGANIZACIÓN DEL PROPONENTE"/>
    <n v="0"/>
    <d v="2024-02-12T00:00:00"/>
    <x v="2"/>
    <s v="ESTUDIO"/>
    <s v="-"/>
    <s v="TECNICO"/>
    <m/>
    <x v="1"/>
    <x v="0"/>
  </r>
  <r>
    <s v="FORMULARIO TECNICO - TEC-01A - ORGANIZACIÓN DEL PROPONENTE PARA CONTRATO"/>
    <n v="0"/>
    <d v="2024-02-12T00:00:00"/>
    <x v="2"/>
    <s v="ESTUDIO"/>
    <s v="-"/>
    <s v="TECNICO"/>
    <m/>
    <x v="1"/>
    <x v="0"/>
  </r>
  <r>
    <s v="FORMULARIO TECNICO - TEC-02 - NOMINA Y ANTECEDENTES PERSONAL CLAVE"/>
    <n v="0"/>
    <d v="2024-02-12T00:00:00"/>
    <x v="2"/>
    <s v="ESTUDIO"/>
    <s v="-"/>
    <s v="TECNICO"/>
    <m/>
    <x v="1"/>
    <x v="0"/>
  </r>
  <r>
    <s v="FORMULARIO TECNICO - TEC-02A - CURRICULUM VITAE PERSONAL CLAVE"/>
    <n v="0"/>
    <d v="2024-02-12T00:00:00"/>
    <x v="2"/>
    <s v="ESTUDIO"/>
    <s v="-"/>
    <s v="TECNICO"/>
    <m/>
    <x v="1"/>
    <x v="0"/>
  </r>
  <r>
    <s v="FORMULARIO TECNICO - TEC-03 - METODOLOGÍA DE TRABAJO - PLAN DE EJECUCIÓN"/>
    <n v="0"/>
    <d v="2024-02-12T00:00:00"/>
    <x v="2"/>
    <s v="ESTUDIO"/>
    <s v="-"/>
    <s v="TECNICO"/>
    <m/>
    <x v="1"/>
    <x v="0"/>
  </r>
  <r>
    <s v="FORMULARIO TECNICO - TEC-03A - MANUAL DE PROCEDIMIENTOS"/>
    <n v="0"/>
    <d v="2024-02-12T00:00:00"/>
    <x v="2"/>
    <s v="ESTUDIO"/>
    <s v="-"/>
    <s v="TECNICO"/>
    <m/>
    <x v="1"/>
    <x v="0"/>
  </r>
  <r>
    <s v="FORMULARIO TECNICO - TEC-04 - PROGRAMA DE EJECUCIÓN DE LOS TRABAJOS"/>
    <n v="0"/>
    <d v="2024-02-12T00:00:00"/>
    <x v="2"/>
    <s v="ESTUDIO"/>
    <s v="-"/>
    <s v="TECNICO"/>
    <m/>
    <x v="1"/>
    <x v="0"/>
  </r>
  <r>
    <s v="FORMULARIO TECNICO - TEC-04A - DOTACIÓN MENSUAL - COSTO DIRECTO"/>
    <n v="0"/>
    <d v="2024-02-12T00:00:00"/>
    <x v="2"/>
    <s v="ESTUDIO"/>
    <s v="-"/>
    <s v="TECNICO"/>
    <m/>
    <x v="1"/>
    <x v="0"/>
  </r>
  <r>
    <s v="FORMULARIO TECNICO - TEC-04B - DOTACIÓN MENSUAL - COSTO INDIRECTO"/>
    <n v="0"/>
    <d v="2024-02-12T00:00:00"/>
    <x v="2"/>
    <s v="ESTUDIO"/>
    <s v="-"/>
    <s v="TECNICO"/>
    <m/>
    <x v="1"/>
    <x v="0"/>
  </r>
  <r>
    <s v="FORMULARIO TECNICO - TEC-04C - DOTACIÓN MENSUAL - GASTOS GENERALES"/>
    <n v="0"/>
    <d v="2024-02-12T00:00:00"/>
    <x v="2"/>
    <s v="ESTUDIO"/>
    <s v="-"/>
    <s v="TECNICO"/>
    <m/>
    <x v="1"/>
    <x v="0"/>
  </r>
  <r>
    <s v="FORMULARIO TECNICO - TEC-04D - RESUMEN ENTREGABLES Y HH TOTALES"/>
    <n v="0"/>
    <d v="2024-02-12T00:00:00"/>
    <x v="2"/>
    <s v="ESTUDIO"/>
    <s v="-"/>
    <s v="TECNICO"/>
    <m/>
    <x v="1"/>
    <x v="0"/>
  </r>
  <r>
    <s v="FORMULARIO TECNICO - TEC-05 - LISTADO EQUIPOS Y MAQUINARIAS"/>
    <n v="0"/>
    <d v="2024-02-12T00:00:00"/>
    <x v="2"/>
    <s v="ESTUDIO"/>
    <s v="-"/>
    <s v="TECNICO"/>
    <m/>
    <x v="1"/>
    <x v="0"/>
  </r>
  <r>
    <s v="FORMULARIO TECNICO - TEC-05A - PROGRAMA MENSUAL USO DE EQUIPOS Y MAQUINARIAS"/>
    <n v="0"/>
    <d v="2024-02-12T00:00:00"/>
    <x v="2"/>
    <s v="ESTUDIO"/>
    <s v="-"/>
    <s v="TECNICO"/>
    <m/>
    <x v="1"/>
    <x v="0"/>
  </r>
  <r>
    <s v="FORMULARIO TECNICO - TEC-05B - LISTADO EQUIPOS Y SUMINISTROS PRINCIPALES"/>
    <n v="0"/>
    <d v="2024-02-12T00:00:00"/>
    <x v="2"/>
    <s v="ESTUDIO"/>
    <s v="-"/>
    <s v="TECNICO"/>
    <m/>
    <x v="1"/>
    <x v="0"/>
  </r>
  <r>
    <s v="FORMULARIO TECNICO - TEC-05C - LISTADO DE CUBICACIONES"/>
    <n v="0"/>
    <d v="2024-02-12T00:00:00"/>
    <x v="2"/>
    <s v="ESTUDIO"/>
    <s v="-"/>
    <s v="TECNICO"/>
    <m/>
    <x v="1"/>
    <x v="0"/>
  </r>
  <r>
    <s v="FORMULARIO TECNICO - TEC-06 - PLAN ASEGURAMIENTO CALIDAD"/>
    <n v="0"/>
    <d v="2024-02-12T00:00:00"/>
    <x v="2"/>
    <s v="ESTUDIO"/>
    <s v="-"/>
    <s v="TECNICO"/>
    <m/>
    <x v="1"/>
    <x v="0"/>
  </r>
  <r>
    <s v="FORMULARIO TECNICO - TEC-07 - PLAN GESTIÓN MEDIO AMBIENTE"/>
    <n v="0"/>
    <d v="2024-02-12T00:00:00"/>
    <x v="2"/>
    <s v="ESTUDIO"/>
    <s v="-"/>
    <s v="TECNICO"/>
    <m/>
    <x v="1"/>
    <x v="0"/>
  </r>
  <r>
    <s v="FORMULARIO TECNICO - TEC-08 - PLAN GESTIÓN SSO"/>
    <n v="0"/>
    <d v="2024-02-12T00:00:00"/>
    <x v="2"/>
    <s v="ESTUDIO"/>
    <s v="-"/>
    <s v="TECNICO"/>
    <m/>
    <x v="1"/>
    <x v="0"/>
  </r>
  <r>
    <s v="FORMULARIO TECNICO - TEC-09 - PLAN GESTIÓN DE RRHH Y RRLL"/>
    <n v="0"/>
    <d v="2024-02-12T00:00:00"/>
    <x v="2"/>
    <s v="ESTUDIO"/>
    <s v="-"/>
    <s v="TECNICO"/>
    <m/>
    <x v="1"/>
    <x v="0"/>
  </r>
  <r>
    <s v="FORMULARIO TECNICO - TEC-10 - LISTADO DE SUBCONTRATISTAS"/>
    <n v="0"/>
    <d v="2024-02-12T00:00:00"/>
    <x v="2"/>
    <s v="ESTUDIO"/>
    <s v="-"/>
    <s v="TECNICO"/>
    <m/>
    <x v="1"/>
    <x v="0"/>
  </r>
  <r>
    <s v="FORMULARIO TECNICO - TEC-11 - INSTALACIONES DEL PROPONENTE"/>
    <n v="0"/>
    <d v="2024-02-12T00:00:00"/>
    <x v="2"/>
    <s v="ESTUDIO"/>
    <s v="-"/>
    <s v="TECNICO"/>
    <m/>
    <x v="1"/>
    <x v="0"/>
  </r>
  <r>
    <s v="FORMULARIO TECNICO - TEC-12 - CARTA EXCUSA"/>
    <n v="0"/>
    <d v="2024-02-12T00:00:00"/>
    <x v="2"/>
    <s v="ESTUDIO"/>
    <s v="-"/>
    <s v="TECNICO"/>
    <m/>
    <x v="1"/>
    <x v="0"/>
  </r>
  <r>
    <s v="NCC N°30 - MANTENIBILIDAD Y CONFIABILIDAD EN PROYECTOS DE INVERSION"/>
    <n v="2"/>
    <d v="2024-02-12T00:00:00"/>
    <x v="6"/>
    <s v="ESTUDIO"/>
    <n v="45"/>
    <s v="GENERAL"/>
    <s v="Anexo BT MyC"/>
    <x v="1"/>
    <x v="0"/>
  </r>
  <r>
    <s v="INSTRUCTIVO INFORMACIÓN REQUERIDA DE LOS PROVEEDORES DE EQUIPOS PARA EL ANÁLISIS DE MANTENIBILIDAD Y CONFIABILIDAD EN ESTUDIOS Y PROYECTOS"/>
    <n v="2"/>
    <d v="2024-02-12T00:00:00"/>
    <x v="4"/>
    <s v="ESTUDIO"/>
    <n v="11"/>
    <s v="GENERAL"/>
    <s v="Anexo BT MyC/Documentos Proyectos Menores"/>
    <x v="1"/>
    <x v="0"/>
  </r>
  <r>
    <s v="PROCEDIMIENTO MANTENIBILIDAD Y CONFIABILIDAD EN ESTUDIOS Y PROYECTOS"/>
    <n v="1"/>
    <d v="2024-02-12T00:00:00"/>
    <x v="7"/>
    <s v="ESTUDIO"/>
    <n v="58"/>
    <s v="GENERAL"/>
    <s v="Anexo BT MyC/Documentos Proyectos Menores"/>
    <x v="1"/>
    <x v="0"/>
  </r>
  <r>
    <s v="FORMULARIO LISTADO COMPLETO DE REPUESTOS PARA MANTENIMIENTO"/>
    <n v="1"/>
    <d v="2024-02-12T00:00:00"/>
    <x v="2"/>
    <s v="ESTUDIO"/>
    <s v="-"/>
    <s v="GENERAL"/>
    <s v="Anexo BT MyC/Formularios M&amp;C"/>
    <x v="1"/>
    <x v="0"/>
  </r>
  <r>
    <s v="FORMULARIO ÍNDICES DE MANTENIBILIDAD Y CONFIABILIDAD DEL EQUIPO"/>
    <n v="1"/>
    <d v="2024-02-12T00:00:00"/>
    <x v="2"/>
    <s v="ESTUDIO"/>
    <s v="-"/>
    <s v="GENERAL"/>
    <s v="Anexo BT MyC/Formularios M&amp;C"/>
    <x v="1"/>
    <x v="0"/>
  </r>
  <r>
    <s v="FORMULARIO COSTO ESTIMADO ANUAL DE MANTENIMIENTO"/>
    <n v="1"/>
    <d v="2024-02-12T00:00:00"/>
    <x v="2"/>
    <s v="ESTUDIO"/>
    <s v="-"/>
    <s v="GENERAL"/>
    <s v="Anexo BT MyC/Formularios M&amp;C"/>
    <x v="1"/>
    <x v="0"/>
  </r>
  <r>
    <s v="FORMULARIO LUBRICANTES RECOMENDADOS DEL EQUIPO SUMINISTRADO"/>
    <n v="1"/>
    <d v="2024-02-12T00:00:00"/>
    <x v="2"/>
    <s v="ESTUDIO"/>
    <s v="-"/>
    <s v="GENERAL"/>
    <s v="Anexo BT MyC/Formularios M&amp;C"/>
    <x v="1"/>
    <x v="0"/>
  </r>
  <r>
    <s v="PLAN DE MANTENIMIENTO DEL EQUIPO SUMINISTRADO"/>
    <n v="1"/>
    <d v="2024-02-12T00:00:00"/>
    <x v="2"/>
    <s v="ESTUDIO"/>
    <s v="-"/>
    <s v="GENERAL"/>
    <s v="Anexo BT MyC/Formularios M&amp;C"/>
    <x v="1"/>
    <x v="0"/>
  </r>
  <r>
    <s v="SISTEMAS DE MONITOREO / DETECCIÓN DE FALLAS DEL EQUIPO SUMINISTRADO"/>
    <n v="1"/>
    <d v="2024-02-12T00:00:00"/>
    <x v="2"/>
    <s v="ESTUDIO"/>
    <s v="-"/>
    <s v="GENERAL"/>
    <s v="Anexo BT MyC/Formularios M&amp;C"/>
    <x v="1"/>
    <x v="0"/>
  </r>
  <r>
    <s v="CAPACITACIÓN REQUERIDA DEL EQUIPO SUMINISTRADO"/>
    <n v="1"/>
    <d v="2024-02-12T00:00:00"/>
    <x v="2"/>
    <s v="ESTUDIO"/>
    <s v="-"/>
    <s v="GENERAL"/>
    <s v="Anexo BT MyC/Formularios M&amp;C"/>
    <x v="1"/>
    <x v="0"/>
  </r>
  <r>
    <s v="FORMULARIO ASISTENCIA TÉCNICA REQUERIDA EN INSTALACIÓN, PUESTA EN MARCHA Y PRIMER AÑO DE OPERACIÓN"/>
    <n v="1"/>
    <d v="2024-02-12T00:00:00"/>
    <x v="2"/>
    <s v="ESTUDIO"/>
    <s v="-"/>
    <s v="GENERAL"/>
    <s v="Anexo BT MyC/Formularios M&amp;C"/>
    <x v="1"/>
    <x v="0"/>
  </r>
  <r>
    <s v="FORMULARIO LISTADO DE HERRAMIENTAS / EQUIPOS ESPECIALES RECOMENDADOS"/>
    <n v="1"/>
    <d v="2024-02-12T00:00:00"/>
    <x v="2"/>
    <s v="ESTUDIO"/>
    <s v="-"/>
    <s v="GENERAL"/>
    <s v="Anexo BT MyC/Formularios M&amp;C"/>
    <x v="1"/>
    <x v="0"/>
  </r>
  <r>
    <s v="FORMULARIO PRUEBAS DE FUNCIONAMIENTO RECOMENDADAS"/>
    <n v="1"/>
    <d v="2024-02-12T00:00:00"/>
    <x v="2"/>
    <s v="ESTUDIO"/>
    <s v="-"/>
    <s v="GENERAL"/>
    <s v="Anexo BT MyC/Formularios M&amp;C"/>
    <x v="1"/>
    <x v="0"/>
  </r>
  <r>
    <s v="FORMULARIO REFERENCIAS DE EQUIPOS SIMILARES"/>
    <n v="1"/>
    <d v="2024-02-12T00:00:00"/>
    <x v="2"/>
    <s v="ESTUDIO"/>
    <s v="-"/>
    <s v="GENERAL"/>
    <s v="Anexo BT MyC/Formularios M&amp;C"/>
    <x v="1"/>
    <x v="0"/>
  </r>
  <r>
    <s v="FORMULARIO DOCUMENTACIÓN DEL EQUIPO SUMINISTRADO"/>
    <n v="1"/>
    <d v="2024-02-12T00:00:00"/>
    <x v="2"/>
    <s v="ESTUDIO"/>
    <s v="-"/>
    <s v="GENERAL"/>
    <s v="Anexo BT MyC/Formularios M&amp;C"/>
    <x v="1"/>
    <x v="0"/>
  </r>
  <r>
    <s v="FORMULARIO CONTENIDO DEL INFORME DEFINICIÓN DE REQUERIMIENTOS DE M&amp;C"/>
    <n v="1"/>
    <d v="2024-02-12T00:00:00"/>
    <x v="2"/>
    <s v="ESTUDIO"/>
    <n v="8"/>
    <s v="GENERAL"/>
    <s v="Anexo BT MyC/Formularios M&amp;C"/>
    <x v="1"/>
    <x v="0"/>
  </r>
  <r>
    <s v="FORMULARIO CONTENIDO DEL INFORME DE ESTRUCTURA DESCOMPOSICIÓN DE EQUIPOS EDE"/>
    <n v="1"/>
    <d v="2024-02-12T00:00:00"/>
    <x v="2"/>
    <s v="ESTUDIO"/>
    <n v="3"/>
    <s v="GENERAL"/>
    <s v="Anexo BT MyC/Formularios M&amp;C"/>
    <x v="1"/>
    <x v="0"/>
  </r>
  <r>
    <s v="FORMULARIO CONTENIDO DEL INFORME ESTÁNDARES Y CHECK LIST PARA LA M&amp;C DEL DISEÑO"/>
    <n v="1"/>
    <d v="2024-02-12T00:00:00"/>
    <x v="2"/>
    <s v="ESTUDIO"/>
    <n v="6"/>
    <s v="GENERAL"/>
    <s v="Anexo BT MyC/Formularios M&amp;C"/>
    <x v="1"/>
    <x v="0"/>
  </r>
  <r>
    <s v="FORMULARIO CONTENIDO DEL INFORME ANÁLISIS DE LA MANTENIBILIDAD Y CONFIABILIDAD"/>
    <n v="1"/>
    <d v="2024-02-12T00:00:00"/>
    <x v="2"/>
    <s v="ESTUDIO"/>
    <n v="3"/>
    <s v="GENERAL"/>
    <s v="Anexo BT MyC/Formularios M&amp;C"/>
    <x v="1"/>
    <x v="0"/>
  </r>
  <r>
    <s v="FORMULARIO CONTENIDO DEL INFORME DE MODELAMIENTO DE LA CONFIABILIDAD Y DISPONIBILIDAD"/>
    <n v="1"/>
    <d v="2024-02-12T00:00:00"/>
    <x v="2"/>
    <s v="ESTUDIO"/>
    <n v="3"/>
    <s v="GENERAL"/>
    <s v="Anexo BT MyC/Formularios M&amp;C"/>
    <x v="1"/>
    <x v="0"/>
  </r>
  <r>
    <s v="FORMULARIO CONTENIDO DEL INFORME DE ANÁLISIS FMECA"/>
    <n v="1"/>
    <d v="2024-02-12T00:00:00"/>
    <x v="2"/>
    <s v="ESTUDIO"/>
    <n v="2"/>
    <s v="GENERAL"/>
    <s v="Anexo BT MyC/Formularios M&amp;C"/>
    <x v="1"/>
    <x v="0"/>
  </r>
  <r>
    <s v="FORMULARIO CONTENIDO DEL INFORME DE MANTENIMIENTO CENTRADO EN LA CONFIABILIDAD (RCM)"/>
    <n v="1"/>
    <d v="2024-02-12T00:00:00"/>
    <x v="2"/>
    <s v="ESTUDIO"/>
    <n v="2"/>
    <s v="GENERAL"/>
    <s v="Anexo BT MyC/Formularios M&amp;C"/>
    <x v="1"/>
    <x v="0"/>
  </r>
  <r>
    <s v="FORMULARIO CONTENIDO DEL INFORME DE ANÁLISIS DE LAS TAREAS DE MANTENIMIENTO"/>
    <n v="1"/>
    <d v="2024-02-12T00:00:00"/>
    <x v="2"/>
    <s v="ESTUDIO"/>
    <n v="2"/>
    <s v="GENERAL"/>
    <s v="Anexo BT MyC/Formularios M&amp;C"/>
    <x v="1"/>
    <x v="0"/>
  </r>
  <r>
    <s v="FORMULARIO CONTENIDO DEL INFORME DE ANÁLISIS DE APOYO LOGÍSTICO"/>
    <n v="1"/>
    <d v="2024-02-12T00:00:00"/>
    <x v="2"/>
    <s v="ESTUDIO"/>
    <n v="3"/>
    <s v="GENERAL"/>
    <s v="Anexo BT MyC/Formularios M&amp;C"/>
    <x v="1"/>
    <x v="0"/>
  </r>
  <r>
    <s v="FORMULARIO CONTENIDO DEL INFORME DE RECURSOS HUMANOS Y CAPACITACIÓN"/>
    <n v="1"/>
    <d v="2024-02-12T00:00:00"/>
    <x v="2"/>
    <s v="ESTUDIO"/>
    <n v="2"/>
    <s v="GENERAL"/>
    <s v="Anexo BT MyC/Formularios M&amp;C"/>
    <x v="1"/>
    <x v="0"/>
  </r>
  <r>
    <s v="FORMULARIO CONTENIDO DEL INFORME DE MONTO INVERSIONAL PARA EL MANTENIMIENTO"/>
    <n v="1"/>
    <d v="2024-02-12T00:00:00"/>
    <x v="2"/>
    <s v="ESTUDIO"/>
    <n v="3"/>
    <s v="GENERAL"/>
    <s v="Anexo BT MyC/Formularios M&amp;C"/>
    <x v="1"/>
    <x v="0"/>
  </r>
  <r>
    <s v="FORMULARIO CONTENIDO DEL INFORME PRESUPUESTO OPERACIONAL PARA EL MANTENIMIENTO"/>
    <n v="1"/>
    <d v="2024-02-12T00:00:00"/>
    <x v="2"/>
    <s v="ESTUDIO"/>
    <n v="4"/>
    <s v="GENERAL"/>
    <s v="Anexo BT MyC/Formularios M&amp;C"/>
    <x v="1"/>
    <x v="0"/>
  </r>
  <r>
    <s v="FORMULARIO CONTENIDO DEL INFORME PLAN DE EJECUCIÓN DE M&amp;C"/>
    <n v="1"/>
    <d v="2024-02-12T00:00:00"/>
    <x v="2"/>
    <s v="ESTUDIO"/>
    <n v="11"/>
    <s v="GENERAL"/>
    <s v="Anexo BT MyC/Formularios M&amp;C"/>
    <x v="1"/>
    <x v="0"/>
  </r>
  <r>
    <s v="FORMULARIO DESCRIPTORES DE PLANTAS"/>
    <n v="1"/>
    <d v="2024-02-12T00:00:00"/>
    <x v="2"/>
    <s v="ESTUDIO"/>
    <n v="2"/>
    <s v="GENERAL"/>
    <s v="Anexo BT MyC/Formularios M&amp;C"/>
    <x v="1"/>
    <x v="0"/>
  </r>
  <r>
    <s v="FORMULARIO DESCRIPTORES DE PROCESOS"/>
    <n v="1"/>
    <d v="2024-02-12T00:00:00"/>
    <x v="2"/>
    <s v="ESTUDIO"/>
    <n v="3"/>
    <s v="GENERAL"/>
    <s v="Anexo BT MyC/Formularios M&amp;C"/>
    <x v="1"/>
    <x v="0"/>
  </r>
  <r>
    <s v="FORMULARIO DESCRIPTORES DE SISTEMAS O AGRUPACIÓN DE EQUIPOS"/>
    <n v="1"/>
    <d v="2024-02-12T00:00:00"/>
    <x v="2"/>
    <s v="ESTUDIO"/>
    <n v="3"/>
    <s v="GENERAL"/>
    <s v="Anexo BT MyC/Formularios M&amp;C"/>
    <x v="1"/>
    <x v="0"/>
  </r>
  <r>
    <s v="FORMULARIO DESCRIPTORES DE EQUIPOS"/>
    <n v="1"/>
    <d v="2024-02-12T00:00:00"/>
    <x v="2"/>
    <s v="ESTUDIO"/>
    <n v="8"/>
    <s v="GENERAL"/>
    <s v="Anexo BT MyC/Formularios M&amp;C"/>
    <x v="1"/>
    <x v="0"/>
  </r>
  <r>
    <s v="FORMULARIO DESCRIPTORES DE SISTEMAS DE EQUIPOS"/>
    <n v="1"/>
    <d v="2024-02-12T00:00:00"/>
    <x v="2"/>
    <s v="ESTUDIO"/>
    <n v="2"/>
    <s v="GENERAL"/>
    <s v="Anexo BT MyC/Formularios M&amp;C"/>
    <x v="1"/>
    <x v="0"/>
  </r>
  <r>
    <s v="FORMULARIO DESCRIPTORES DE COMPONENTES"/>
    <n v="1"/>
    <d v="2024-02-12T00:00:00"/>
    <x v="2"/>
    <s v="ESTUDIO"/>
    <n v="4"/>
    <s v="GENERAL"/>
    <s v="Anexo BT MyC/Formularios M&amp;C"/>
    <x v="1"/>
    <x v="0"/>
  </r>
  <r>
    <s v="ESTRUCTURA DE DESCOMPOSICIÓN DE EQUIPOS EDE"/>
    <n v="1"/>
    <d v="2024-02-12T00:00:00"/>
    <x v="2"/>
    <s v="ESTUDIO"/>
    <s v="-"/>
    <s v="GENERAL"/>
    <s v="Anexo BT MyC/Formularios M&amp;C"/>
    <x v="1"/>
    <x v="0"/>
  </r>
  <r>
    <s v="ANÁLISIS DE MANTENIBILIDAD Y CONFIABILIDAD DEL PROYECTO CHECK LIST"/>
    <n v="1"/>
    <d v="2024-02-12T00:00:00"/>
    <x v="2"/>
    <s v="ESTUDIO"/>
    <s v="-"/>
    <s v="GENERAL"/>
    <s v="Anexo BT MyC/Formularios M&amp;C"/>
    <x v="1"/>
    <x v="0"/>
  </r>
  <r>
    <s v="PLANILLA DATOS HISTORICOS DE DETENCIONES DE EQUIPOS"/>
    <n v="1"/>
    <d v="2024-02-12T00:00:00"/>
    <x v="2"/>
    <s v="ESTUDIO"/>
    <s v="-"/>
    <s v="GENERAL"/>
    <s v="Anexo BT MyC/Formularios M&amp;C"/>
    <x v="1"/>
    <x v="0"/>
  </r>
  <r>
    <s v="ANÁLISIS SISTEMÁTICO DE MODOS, EFECTOS Y CRITICIDAD DE LAS FALLAS (FMECA)"/>
    <n v="1"/>
    <d v="2024-02-12T00:00:00"/>
    <x v="2"/>
    <s v="ESTUDIO"/>
    <s v="-"/>
    <s v="GENERAL"/>
    <s v="Anexo BT MyC/Formularios M&amp;C"/>
    <x v="1"/>
    <x v="0"/>
  </r>
  <r>
    <s v="ANÁLISIS DE RCM"/>
    <n v="1"/>
    <d v="2024-02-12T00:00:00"/>
    <x v="2"/>
    <s v="ESTUDIO"/>
    <s v="-"/>
    <s v="GENERAL"/>
    <s v="Anexo BT MyC/Formularios M&amp;C"/>
    <x v="1"/>
    <x v="0"/>
  </r>
  <r>
    <s v="ANÁLISIS DE TAREAS DE MANTENIMIENTO"/>
    <n v="1"/>
    <d v="2024-02-12T00:00:00"/>
    <x v="2"/>
    <s v="ESTUDIO"/>
    <s v="-"/>
    <s v="GENERAL"/>
    <s v="Anexo BT MyC/Formularios M&amp;C"/>
    <x v="1"/>
    <x v="0"/>
  </r>
  <r>
    <s v="BT-ANEXO 1 GESTIÓN  DE CALIDAD - “MONTAJE ESPESADOR DE CABEZA, PMFC-DAND”"/>
    <n v="0"/>
    <d v="2024-02-12T00:00:00"/>
    <x v="3"/>
    <s v="ESTUDIO"/>
    <n v="19"/>
    <s v="QAQC"/>
    <s v="Anexos"/>
    <x v="1"/>
    <x v="0"/>
  </r>
  <r>
    <s v="BEC- ANEXO 2 - GESTION DE SEGURIDAD, SALUD OCUPACIONAL Y MEDIO AMBIENTE "/>
    <n v="0"/>
    <d v="2024-02-12T00:00:00"/>
    <x v="3"/>
    <s v="ESTUDIO"/>
    <n v="50"/>
    <s v="SSO"/>
    <s v="Anexos"/>
    <x v="1"/>
    <x v="0"/>
  </r>
  <r>
    <s v="BT-ANEXO 3 - GESTION DE RELACIONES LABORALES"/>
    <n v="0"/>
    <d v="2024-02-12T00:00:00"/>
    <x v="3"/>
    <s v="ESTUDIO"/>
    <n v="6"/>
    <s v="RRLL"/>
    <s v="Anexos"/>
    <x v="1"/>
    <x v="0"/>
  </r>
  <r>
    <s v="BT-ANEXO 4 - GESTIÓN DE PUESTA EN MARCHA"/>
    <n v="0"/>
    <d v="2024-02-12T00:00:00"/>
    <x v="3"/>
    <s v="ESTUDIO"/>
    <n v="14"/>
    <s v="GENERAL"/>
    <s v="Anexos"/>
    <x v="1"/>
    <x v="0"/>
  </r>
  <r>
    <s v="BASES TECNICAS - ANEXO 5 - GESTIÓN DE MANTENIBILIDAD Y CONFIABILIDAD"/>
    <n v="0"/>
    <d v="2024-02-12T00:00:00"/>
    <x v="3"/>
    <s v="ESTUDIO"/>
    <n v="13"/>
    <s v="GENERAL"/>
    <s v="Anexos"/>
    <x v="1"/>
    <x v="0"/>
  </r>
  <r>
    <s v="LISTADO DE PLANOS Y DOCUMENTOS"/>
    <s v="-"/>
    <d v="2024-02-12T00:00:00"/>
    <x v="8"/>
    <s v="OBSOLETO"/>
    <s v="-"/>
    <s v="GENERAL"/>
    <s v="Anexos"/>
    <x v="1"/>
    <x v="0"/>
  </r>
  <r>
    <s v="BASES ADMINISTRATIVAS GENERALES"/>
    <n v="5"/>
    <d v="2024-02-12T00:00:00"/>
    <x v="3"/>
    <s v="ESTUDIO"/>
    <n v="88"/>
    <s v="ADMINISTRACION"/>
    <s v="Bases Administrativas"/>
    <x v="1"/>
    <x v="0"/>
  </r>
  <r>
    <s v="OBLIGACIONES RELATIVAS A LOS TRABAJADORES DE LA CONTRAPARTE"/>
    <s v="-"/>
    <d v="2024-02-12T00:00:00"/>
    <x v="5"/>
    <s v="ESTUDIO"/>
    <n v="31"/>
    <s v="ADMINISTRACION"/>
    <s v="Bases Administrativas"/>
    <x v="1"/>
    <x v="0"/>
  </r>
  <r>
    <s v="BASES ESPECIALES PARA CONTRATOS DE CONSTRUCCIÓN"/>
    <s v="-"/>
    <d v="2024-02-12T00:00:00"/>
    <x v="3"/>
    <s v="ESTUDIO"/>
    <n v="89"/>
    <s v="ADMINISTRACION"/>
    <s v="Bases Administrativas"/>
    <x v="1"/>
    <x v="0"/>
  </r>
  <r>
    <s v="BASES REQUISITOS DE CALIDAD PARA CONTRATOS"/>
    <n v="3"/>
    <d v="2024-02-12T00:00:00"/>
    <x v="3"/>
    <s v="ESTUDIO"/>
    <n v="22"/>
    <s v="QAQC"/>
    <s v="Documentacion Calidad"/>
    <x v="1"/>
    <x v="0"/>
  </r>
  <r>
    <s v="PROCEDIMIENTO GESTIÓN DE AUDITORÍAS A EMPRESAS COLABORADORAS"/>
    <n v="1"/>
    <d v="2024-02-12T00:00:00"/>
    <x v="7"/>
    <s v="ESTUDIO"/>
    <n v="15"/>
    <s v="QAQC"/>
    <s v="Documentacion Calidad"/>
    <x v="1"/>
    <x v="0"/>
  </r>
  <r>
    <s v="PROCEDIMIENTO GESTIÓN DE NO CONFORMIDADES"/>
    <n v="1"/>
    <d v="2024-02-12T00:00:00"/>
    <x v="7"/>
    <s v="ESTUDIO"/>
    <n v="12"/>
    <s v="QAQC"/>
    <s v="Documentacion Calidad"/>
    <x v="1"/>
    <x v="0"/>
  </r>
  <r>
    <s v="BASES REQUISITOS DE CALIDAD PARA CALIFICACIÓN DE LABORATORIOS DE AUTOCONTROL EN OBRA"/>
    <n v="1"/>
    <d v="2024-02-12T00:00:00"/>
    <x v="3"/>
    <s v="ESTUDIO"/>
    <n v="7"/>
    <s v="QAQC"/>
    <s v="Documentacion Calidad"/>
    <x v="1"/>
    <x v="0"/>
  </r>
  <r>
    <s v="BASES REQUISITOS PARA CALIBRACIÓN DE EQUIPOS E INSTRUMENTOS DE INSPECCIÓN, MEDICIÓN Y ENSAYOS"/>
    <n v="1"/>
    <d v="2024-02-12T00:00:00"/>
    <x v="3"/>
    <s v="ESTUDIO"/>
    <n v="6"/>
    <s v="QAQC"/>
    <s v="Documentacion Calidad"/>
    <x v="1"/>
    <x v="0"/>
  </r>
  <r>
    <s v="BASES REQUISITOS PARA LA ELABORACIÓN DE PROTOCOLOS Y MATRIZ DE PROTOCOLOS"/>
    <n v="1"/>
    <d v="2024-02-12T00:00:00"/>
    <x v="3"/>
    <s v="ESTUDIO"/>
    <n v="6"/>
    <s v="QAQC"/>
    <s v="Documentacion Calidad"/>
    <x v="1"/>
    <x v="0"/>
  </r>
  <r>
    <s v="BASES DE REQUISITOS PARA CAMINATAS, INSPECCIONES Y CIERRE DE DETALLES DE TERMINACIÓN"/>
    <n v="1"/>
    <d v="2024-02-12T00:00:00"/>
    <x v="3"/>
    <s v="ESTUDIO"/>
    <n v="12"/>
    <s v="QAQC"/>
    <s v="Documentacion Calidad"/>
    <x v="1"/>
    <x v="0"/>
  </r>
  <r>
    <s v="BASES ARMADO DE PAQUETES DE TRASPASO POR CONSTRUCCIÓN"/>
    <n v="1"/>
    <d v="2024-02-12T00:00:00"/>
    <x v="3"/>
    <s v="ESTUDIO"/>
    <n v="14"/>
    <s v="QAQC"/>
    <s v="Documentacion Calidad"/>
    <x v="1"/>
    <x v="0"/>
  </r>
  <r>
    <s v="INSTRUCTIVO CODIFICACIÓN DE DOCUMENTOS PARA PROYECTOS DIVISIONALES"/>
    <n v="2"/>
    <d v="2024-02-12T00:00:00"/>
    <x v="4"/>
    <s v="ESTUDIO"/>
    <n v="25"/>
    <s v="QAQC"/>
    <s v="Documentacion Calidad"/>
    <x v="1"/>
    <x v="0"/>
  </r>
  <r>
    <m/>
    <m/>
    <m/>
    <x v="0"/>
    <m/>
    <m/>
    <m/>
    <m/>
    <x v="0"/>
    <x v="0"/>
  </r>
  <r>
    <s v="CORREO RESPALDO - EL EVENTO RFP MONTAJE ESPESADOR DE CABEZA PMFC -DAND HA SIDO REDUCIDO EN 7 DÍAS."/>
    <s v="-"/>
    <d v="2024-02-14T00:00:00"/>
    <x v="1"/>
    <s v="ESTUDIO"/>
    <s v="-"/>
    <s v="GENERAL"/>
    <m/>
    <x v="1"/>
    <x v="0"/>
  </r>
  <r>
    <s v="CORREO RESPALDO - MODIFICACIÓN ITINERARIO DEL PROCESO Y NUEVOS DOCUENTOS _ DOC1002164805 _ MONTAJE ESPESADOR DE CABEZA PMFC -DAND"/>
    <s v="-"/>
    <d v="2024-02-14T00:00:00"/>
    <x v="1"/>
    <s v="ESTUDIO"/>
    <s v="-"/>
    <s v="GENERAL"/>
    <m/>
    <x v="1"/>
    <x v="0"/>
  </r>
  <r>
    <s v="LISTADO DE PLANOS Y DOCUMENTOS (REV. 31-01-2024)"/>
    <s v="-"/>
    <d v="2024-02-14T00:00:00"/>
    <x v="8"/>
    <s v="OBSOLETO"/>
    <s v="-"/>
    <s v="GENERAL"/>
    <m/>
    <x v="1"/>
    <x v="0"/>
  </r>
  <r>
    <s v="MODELO 3D - F039SS01_15-01-2024"/>
    <s v="-"/>
    <d v="2024-02-14T00:00:00"/>
    <x v="9"/>
    <s v="ESTUDIO"/>
    <s v="-"/>
    <s v="GENERAL"/>
    <m/>
    <x v="2"/>
    <x v="1"/>
  </r>
  <r>
    <s v="NCC N°30 - MANTENIBILIDAD Y CONFIABILIDAD EN PROYECTOS DE INVERSION"/>
    <n v="2"/>
    <d v="2024-02-14T00:00:00"/>
    <x v="6"/>
    <s v="ESTUDIO"/>
    <n v="45"/>
    <s v="GENERAL"/>
    <s v="01.Anexo BT MyC"/>
    <x v="1"/>
    <x v="0"/>
  </r>
  <r>
    <s v="INSTRUCTIVO INFORMACIÓN REQUERIDA DE LOS PROVEEDORES DE EQUIPOS PARA EL ANÁLISIS DE MANTENIBILIDAD Y CONFIABILIDAD EN ESTUDIOS Y PROYECTOS"/>
    <n v="2"/>
    <d v="2024-02-14T00:00:00"/>
    <x v="4"/>
    <s v="ESTUDIO"/>
    <n v="11"/>
    <s v="GENERAL"/>
    <s v="01.Anexo BT MyC/Documentos proyectos Menores"/>
    <x v="1"/>
    <x v="0"/>
  </r>
  <r>
    <s v="PROCEDIMIENTO MANTENIBILIDAD Y CONFIABILIDAD EN ESTUDIOS Y PROYECTOS"/>
    <n v="1"/>
    <d v="2024-02-12T00:00:00"/>
    <x v="7"/>
    <s v="ESTUDIO"/>
    <n v="58"/>
    <s v="GENERAL"/>
    <s v="01.Anexo BT MyC/Documentos proyectos Menores"/>
    <x v="1"/>
    <x v="0"/>
  </r>
  <r>
    <s v="BT-ANEXO 1 GESTIÓN  DE CALIDAD - “MONTAJE ESPESADOR DE CABEZA, PMFC-DAND”"/>
    <n v="0"/>
    <d v="2024-02-14T00:00:00"/>
    <x v="3"/>
    <s v="ESTUDIO"/>
    <n v="19"/>
    <s v="QAQC"/>
    <s v="02.Anexos"/>
    <x v="1"/>
    <x v="0"/>
  </r>
  <r>
    <s v="BEC- ANEXO 2 - GESTION DE SEGURIDAD, SALUD OCUPACIONAL Y MEDIO AMBIENTE "/>
    <n v="0"/>
    <d v="2024-02-14T00:00:00"/>
    <x v="3"/>
    <s v="ESTUDIO"/>
    <n v="50"/>
    <s v="SSO"/>
    <s v="02.Anexos"/>
    <x v="1"/>
    <x v="0"/>
  </r>
  <r>
    <s v="BT-ANEXO 3 - GESTION DE RELACIONES LABORALES"/>
    <n v="0"/>
    <d v="2024-02-14T00:00:00"/>
    <x v="3"/>
    <s v="ESTUDIO"/>
    <n v="6"/>
    <s v="RRLL"/>
    <s v="02.Anexos"/>
    <x v="1"/>
    <x v="0"/>
  </r>
  <r>
    <s v="BT-ANEXO 4 - GESTIÓN DE PUESTA EN MARCHA"/>
    <n v="0"/>
    <d v="2024-02-14T00:00:00"/>
    <x v="3"/>
    <s v="ESTUDIO"/>
    <n v="14"/>
    <s v="GENERAL"/>
    <s v="02.Anexos"/>
    <x v="1"/>
    <x v="0"/>
  </r>
  <r>
    <s v="BASES TECNICAS - ANEXO 5 - GESTIÓN DE MANTENIBILIDAD Y CONFIABILIDAD"/>
    <n v="0"/>
    <d v="2024-02-14T00:00:00"/>
    <x v="3"/>
    <s v="ESTUDIO"/>
    <n v="13"/>
    <s v="GENERAL"/>
    <s v="02.Anexos"/>
    <x v="1"/>
    <x v="0"/>
  </r>
  <r>
    <s v="LISTADO DE PLANOS Y DOCUMENTOS"/>
    <s v="-"/>
    <d v="2024-02-14T00:00:00"/>
    <x v="8"/>
    <s v="OBSOLETO"/>
    <s v="-"/>
    <s v="GENERAL"/>
    <s v="02.Anexos"/>
    <x v="1"/>
    <x v="0"/>
  </r>
  <r>
    <s v="BASES REQUISITOS DE CALIDAD PARA CONTRATOS"/>
    <n v="3"/>
    <d v="2024-02-14T00:00:00"/>
    <x v="3"/>
    <s v="ESTUDIO"/>
    <n v="22"/>
    <s v="QAQC"/>
    <s v="03umentación Calidad"/>
    <x v="1"/>
    <x v="0"/>
  </r>
  <r>
    <s v="PROCEDIMIENTO GESTIÓN DE AUDITORÍAS A EMPRESAS COLABORADORAS"/>
    <n v="1"/>
    <d v="2024-02-14T00:00:00"/>
    <x v="7"/>
    <s v="ESTUDIO"/>
    <n v="15"/>
    <s v="QAQC"/>
    <s v="03umentación Calidad"/>
    <x v="1"/>
    <x v="0"/>
  </r>
  <r>
    <s v="PROCEDIMIENTO GESTIÓN DE NO CONFORMIDADES"/>
    <n v="1"/>
    <d v="2024-02-14T00:00:00"/>
    <x v="7"/>
    <s v="ESTUDIO"/>
    <n v="12"/>
    <s v="QAQC"/>
    <s v="03umentación Calidad"/>
    <x v="1"/>
    <x v="0"/>
  </r>
  <r>
    <s v="BASES REQUISITOS DE CALIDAD PARA CALIFICACIÓN DE LABORATORIOS DE AUTOCONTROL EN OBRA"/>
    <n v="1"/>
    <d v="2024-02-14T00:00:00"/>
    <x v="3"/>
    <s v="ESTUDIO"/>
    <n v="7"/>
    <s v="QAQC"/>
    <s v="03umentación Calidad"/>
    <x v="1"/>
    <x v="0"/>
  </r>
  <r>
    <s v="BASES REQUISITOS PARA CALIBRACIÓN DE EQUIPOS E INSTRUMENTOS DE INSPECCIÓN, MEDICIÓN Y ENSAYOS"/>
    <n v="1"/>
    <d v="2024-02-14T00:00:00"/>
    <x v="3"/>
    <s v="ESTUDIO"/>
    <n v="6"/>
    <s v="QAQC"/>
    <s v="03umentación Calidad"/>
    <x v="1"/>
    <x v="0"/>
  </r>
  <r>
    <s v="BASES REQUISITOS PARA LA ELABORACIÓN DE PROTOCOLOS Y MATRIZ DE PROTOCOLOS"/>
    <n v="1"/>
    <d v="2024-02-14T00:00:00"/>
    <x v="3"/>
    <s v="ESTUDIO"/>
    <n v="6"/>
    <s v="QAQC"/>
    <s v="03umentación Calidad"/>
    <x v="1"/>
    <x v="0"/>
  </r>
  <r>
    <s v="BASES DE REQUISITOS PARA CAMINATAS, INSPECCIONES Y CIERRE DE DETALLES DE TERMINACIÓN"/>
    <n v="1"/>
    <d v="2024-02-14T00:00:00"/>
    <x v="3"/>
    <s v="ESTUDIO"/>
    <n v="12"/>
    <s v="QAQC"/>
    <s v="03umentación Calidad"/>
    <x v="1"/>
    <x v="0"/>
  </r>
  <r>
    <s v="BASES ARMADO DE PAQUETES DE TRASPASO POR CONSTRUCCIÓN"/>
    <n v="1"/>
    <d v="2024-02-14T00:00:00"/>
    <x v="3"/>
    <s v="ESTUDIO"/>
    <n v="14"/>
    <s v="QAQC"/>
    <s v="03umentación Calidad"/>
    <x v="1"/>
    <x v="0"/>
  </r>
  <r>
    <s v="INSTRUCTIVO CODIFICACIÓN DE DOCUMENTOS PARA PROYECTOS DIVISIONALES"/>
    <n v="2"/>
    <d v="2024-02-14T00:00:00"/>
    <x v="4"/>
    <s v="ESTUDIO"/>
    <n v="25"/>
    <s v="QAQC"/>
    <s v="03umentación Calidad"/>
    <x v="1"/>
    <x v="0"/>
  </r>
  <r>
    <s v="DISPOSICIÓN GENERAL PLANTA DISPOSICIÓN GENERAL Y CUBIERTA CASA DE CAMBIO"/>
    <n v="1"/>
    <d v="2024-02-14T00:00:00"/>
    <x v="10"/>
    <s v="ESTUDIO"/>
    <n v="1"/>
    <s v="ARQUITECTURA"/>
    <s v="AR_01"/>
    <x v="2"/>
    <x v="2"/>
  </r>
  <r>
    <s v="DISPOSICIÓN GENERAL PLANTA DISPOSICIÓN GENERAL Y CUBIERTA BODEGA DE ALMACENAMIENTO INDUSTRIAL"/>
    <n v="2"/>
    <d v="2024-02-14T00:00:00"/>
    <x v="10"/>
    <s v="ESTUDIO"/>
    <n v="1"/>
    <s v="ARQUITECTURA"/>
    <s v="AR_01"/>
    <x v="2"/>
    <x v="3"/>
  </r>
  <r>
    <s v="DISPOSICIÓN GENERAL PLANTA DISPOSICIÓN GENERAL Y CUBIERTA ESTACIÓN DE TRANSFERENCIA DE RESIDUOS"/>
    <n v="2"/>
    <d v="2024-02-14T00:00:00"/>
    <x v="10"/>
    <s v="ESTUDIO"/>
    <n v="1"/>
    <s v="ARQUITECTURA"/>
    <s v="AR_01"/>
    <x v="2"/>
    <x v="4"/>
  </r>
  <r>
    <s v="DISPOSICIÓN GENERAL ELEVACIONES Y SECCIONES CASA DE CAMBIO"/>
    <n v="2"/>
    <d v="2024-02-14T00:00:00"/>
    <x v="10"/>
    <s v="ESTUDIO"/>
    <n v="1"/>
    <s v="ARQUITECTURA"/>
    <s v="AR_01"/>
    <x v="2"/>
    <x v="5"/>
  </r>
  <r>
    <s v="DISPOSICIÓN GENERAL ELEVACIONES Y SECCIONES BODEGA DE ALMACENAMIENTO INDUSTRIAL"/>
    <n v="2"/>
    <d v="2024-02-14T00:00:00"/>
    <x v="10"/>
    <s v="ESTUDIO"/>
    <n v="1"/>
    <s v="ARQUITECTURA"/>
    <s v="AR_01"/>
    <x v="2"/>
    <x v="6"/>
  </r>
  <r>
    <s v="DISPOSICIÓN GENERAL ELEVACIONES Y SECCIONES ESTACIÓN DE TRANSFERENCIA DE RESIDUOS"/>
    <n v="1"/>
    <d v="2024-02-14T00:00:00"/>
    <x v="10"/>
    <s v="ESTUDIO"/>
    <n v="1"/>
    <s v="ARQUITECTURA"/>
    <s v="AR_01"/>
    <x v="2"/>
    <x v="7"/>
  </r>
  <r>
    <s v="SALA DE CAMBIO PLANTA Y SECCIONES"/>
    <n v="0"/>
    <d v="2024-02-14T00:00:00"/>
    <x v="10"/>
    <s v="ESTUDIO"/>
    <n v="1"/>
    <s v="ARQUITECTURA"/>
    <s v="AR_01"/>
    <x v="2"/>
    <x v="8"/>
  </r>
  <r>
    <s v="EST. TRANSFERENCIA RESIDUOS - TRANSITORIA SANEAMIENTO - PLANTA Y SECCIONES"/>
    <n v="0"/>
    <d v="2024-02-14T00:00:00"/>
    <x v="10"/>
    <s v="ESTUDIO"/>
    <n v="1"/>
    <s v="ARQUITECTURA"/>
    <s v="AR_01"/>
    <x v="2"/>
    <x v="9"/>
  </r>
  <r>
    <s v="ESPECIFICACIONES TÉCNICAS DE ARQUITECTURA - SALA DE CAMBIO"/>
    <n v="0"/>
    <d v="2024-02-14T00:00:00"/>
    <x v="11"/>
    <s v="ESTUDIO"/>
    <n v="12"/>
    <s v="ARQUITECTURA"/>
    <s v="AR_01"/>
    <x v="2"/>
    <x v="10"/>
  </r>
  <r>
    <s v="ESPECIFICACIONES TÉCNICAS DE ARQUITECTURA - ESTACIÓN DE TRANSFERENCIA DE RESIDUOS"/>
    <n v="0"/>
    <d v="2024-02-14T00:00:00"/>
    <x v="11"/>
    <s v="ESTUDIO"/>
    <n v="19"/>
    <s v="ARQUITECTURA"/>
    <s v="AR_01"/>
    <x v="2"/>
    <x v="11"/>
  </r>
  <r>
    <s v="ESPECIFICACIONES TÉCNICA DE ARQUITECTURA - BODEGA INDUSTRIAL"/>
    <n v="0"/>
    <d v="2024-02-14T00:00:00"/>
    <x v="11"/>
    <s v="ESTUDIO"/>
    <n v="19"/>
    <s v="ARQUITECTURA"/>
    <s v="AR_01"/>
    <x v="2"/>
    <x v="12"/>
  </r>
  <r>
    <s v="DETALLES DE MONTAJE LIT / LSHL / FIT"/>
    <n v="0"/>
    <d v="2024-02-14T00:00:00"/>
    <x v="10"/>
    <s v="ESTUDIO"/>
    <n v="1"/>
    <s v="AUTOMATIZACION"/>
    <s v="AT_01"/>
    <x v="2"/>
    <x v="13"/>
  </r>
  <r>
    <s v="DETALLES DE MONTAJE PIT / PI"/>
    <n v="0"/>
    <d v="2024-02-14T00:00:00"/>
    <x v="10"/>
    <s v="ESTUDIO"/>
    <n v="1"/>
    <s v="AUTOMATIZACION"/>
    <s v="AT_01"/>
    <x v="2"/>
    <x v="14"/>
  </r>
  <r>
    <s v="DETALLES DE MONTAJE DIT / FIT"/>
    <n v="0"/>
    <d v="2024-02-14T00:00:00"/>
    <x v="10"/>
    <s v="ESTUDIO"/>
    <n v="1"/>
    <s v="AUTOMATIZACION"/>
    <s v="AT_01"/>
    <x v="2"/>
    <x v="15"/>
  </r>
  <r>
    <s v="UBICACIÓN DE INSTRUMENTOS ESPESADOR DE CONCENTRADO"/>
    <s v="B"/>
    <d v="2024-02-14T00:00:00"/>
    <x v="10"/>
    <s v="ESTUDIO"/>
    <n v="1"/>
    <s v="AUTOMATIZACION"/>
    <s v="AT_01"/>
    <x v="2"/>
    <x v="16"/>
  </r>
  <r>
    <s v="UBICACIÓN DE EQUIPOS DE INSTRUMENTACIÓN EN SALA ELÉCTRICA"/>
    <s v="B"/>
    <d v="2024-02-14T00:00:00"/>
    <x v="10"/>
    <s v="ESTUDIO"/>
    <n v="1"/>
    <s v="AUTOMATIZACION"/>
    <s v="AT_01"/>
    <x v="2"/>
    <x v="17"/>
  </r>
  <r>
    <s v="UBICACIÓN DE INSTRUMENTOS TORRE DE CAJONES"/>
    <s v="B"/>
    <d v="2024-02-14T00:00:00"/>
    <x v="10"/>
    <s v="ESTUDIO"/>
    <n v="1"/>
    <s v="AUTOMATIZACION"/>
    <s v="AT_01"/>
    <x v="2"/>
    <x v="18"/>
  </r>
  <r>
    <s v="DIAGRAMA UNILINEAL TABLERO 03350-TDI-001"/>
    <n v="2"/>
    <d v="2024-02-14T00:00:00"/>
    <x v="10"/>
    <s v="ESTUDIO"/>
    <n v="1"/>
    <s v="AUTOMATIZACION"/>
    <s v="AT_01"/>
    <x v="2"/>
    <x v="19"/>
  </r>
  <r>
    <s v="DIAGRAMA UNILINEAL TABLERO 03350-TDI-002"/>
    <n v="2"/>
    <d v="2024-02-14T00:00:00"/>
    <x v="10"/>
    <s v="ESTUDIO"/>
    <n v="1"/>
    <s v="AUTOMATIZACION"/>
    <s v="AT_01"/>
    <x v="2"/>
    <x v="20"/>
  </r>
  <r>
    <s v="DIAGRAMA DE CONEXIONADO SISTEMA DE CCTV - LÁMINA 1 DE 2"/>
    <n v="0"/>
    <d v="2024-02-14T00:00:00"/>
    <x v="10"/>
    <s v="ESTUDIO"/>
    <n v="1"/>
    <s v="AUTOMATIZACION"/>
    <s v="AT_01"/>
    <x v="2"/>
    <x v="21"/>
  </r>
  <r>
    <s v="DIAGRAMA DE BLOQUES SISTEMA DE CONTROL Y CCTV"/>
    <n v="2"/>
    <d v="2024-02-14T00:00:00"/>
    <x v="10"/>
    <s v="ESTUDIO"/>
    <n v="1"/>
    <s v="AUTOMATIZACION"/>
    <s v="AT_01"/>
    <x v="2"/>
    <x v="22"/>
  </r>
  <r>
    <s v="DIOSPOSICION TABLEROS TCN Y VÁLVULAS AUTOMATIZADAS"/>
    <s v="B"/>
    <d v="2024-02-14T00:00:00"/>
    <x v="10"/>
    <s v="ESTUDIO"/>
    <n v="1"/>
    <s v="AUTOMATIZACION"/>
    <s v="AT_01"/>
    <x v="2"/>
    <x v="23"/>
  </r>
  <r>
    <s v="DIAGRAMA DE SEGMENTOS RED MUDBUS TCP"/>
    <n v="0"/>
    <d v="2024-02-14T00:00:00"/>
    <x v="10"/>
    <s v="ESTUDIO"/>
    <n v="1"/>
    <s v="AUTOMATIZACION"/>
    <s v="AT_01"/>
    <x v="2"/>
    <x v="24"/>
  </r>
  <r>
    <s v="DIAGRAMA DE SEGMENTOS RED PROFIBUS DP"/>
    <s v="N"/>
    <d v="2024-02-14T00:00:00"/>
    <x v="10"/>
    <s v="ANULADO"/>
    <n v="1"/>
    <s v="AUTOMATIZACION"/>
    <s v="AT_01"/>
    <x v="1"/>
    <x v="1"/>
  </r>
  <r>
    <s v="DIAG. LÓGICOS DE CONTROL MANEJO DE DERRAMES - LÁM 001"/>
    <s v="B"/>
    <d v="2024-02-14T00:00:00"/>
    <x v="10"/>
    <s v="ESTUDIO"/>
    <n v="1"/>
    <s v="AUTOMATIZACION"/>
    <s v="AT_01"/>
    <x v="2"/>
    <x v="25"/>
  </r>
  <r>
    <s v="DIAG. LÓGICOS DE CONTROL AGUA DE SELLO - LÁM 002"/>
    <s v="B"/>
    <d v="2024-02-14T00:00:00"/>
    <x v="10"/>
    <s v="ESTUDIO"/>
    <n v="1"/>
    <s v="AUTOMATIZACION"/>
    <s v="AT_01"/>
    <x v="2"/>
    <x v="26"/>
  </r>
  <r>
    <s v="DIAG. LÓGICOS DE CONTROL VÁLVULAS OVERFLOW - LÁM 003"/>
    <s v="B"/>
    <d v="2024-02-14T00:00:00"/>
    <x v="10"/>
    <s v="ESTUDIO"/>
    <n v="1"/>
    <s v="AUTOMATIZACION"/>
    <s v="AT_01"/>
    <x v="2"/>
    <x v="27"/>
  </r>
  <r>
    <s v="DIAG. LÓGICOS DE CONTROL AGUA DE SELLO - LÁM 004"/>
    <s v="B"/>
    <d v="2024-02-14T00:00:00"/>
    <x v="10"/>
    <s v="ESTUDIO"/>
    <n v="1"/>
    <s v="AUTOMATIZACION"/>
    <s v="AT_01"/>
    <x v="2"/>
    <x v="28"/>
  </r>
  <r>
    <s v="DIAG. LÓGICOS DE CONTROL AGUA DE SELLO - LÁM 005"/>
    <s v="B"/>
    <d v="2024-02-14T00:00:00"/>
    <x v="10"/>
    <s v="ESTUDIO"/>
    <n v="1"/>
    <s v="AUTOMATIZACION"/>
    <s v="AT_01"/>
    <x v="2"/>
    <x v="29"/>
  </r>
  <r>
    <s v="DIAG. LÓGICOS DE CONTROL TRANSP. CONCENTRADO UNDERFLOW - LÁM 006"/>
    <s v="B"/>
    <d v="2024-02-14T00:00:00"/>
    <x v="10"/>
    <s v="ESTUDIO"/>
    <n v="1"/>
    <s v="AUTOMATIZACION"/>
    <s v="AT_01"/>
    <x v="2"/>
    <x v="30"/>
  </r>
  <r>
    <s v="DIAG. LÓGICOS DE CONTROL TRANSP. CONCENTRADO UNDERFLOW - LÁM 007"/>
    <s v="B"/>
    <d v="2024-02-14T00:00:00"/>
    <x v="10"/>
    <s v="ESTUDIO"/>
    <n v="1"/>
    <s v="AUTOMATIZACION"/>
    <s v="AT_01"/>
    <x v="2"/>
    <x v="31"/>
  </r>
  <r>
    <s v="DIAG. LÓGICOS DE CONTROL TRANSP. CONCENTRADO UNDERFLOW - LÁM 008"/>
    <s v="B"/>
    <d v="2024-02-14T00:00:00"/>
    <x v="10"/>
    <s v="ESTUDIO"/>
    <n v="1"/>
    <s v="AUTOMATIZACION"/>
    <s v="AT_01"/>
    <x v="2"/>
    <x v="32"/>
  </r>
  <r>
    <s v="DIAG. LÓGICOS DE CONTROL TRANSP. CONCENTRADO UNDERFLOW - LÁM 009"/>
    <s v="B"/>
    <d v="2024-02-14T00:00:00"/>
    <x v="10"/>
    <s v="ESTUDIO"/>
    <n v="1"/>
    <s v="AUTOMATIZACION"/>
    <s v="AT_01"/>
    <x v="2"/>
    <x v="33"/>
  </r>
  <r>
    <s v="DIAG. LÓGICOS DE CONTROL TRANSP. CONCENTRADO UNDERFLOW - LÁM 010"/>
    <s v="B"/>
    <d v="2024-02-14T00:00:00"/>
    <x v="10"/>
    <s v="ESTUDIO"/>
    <n v="1"/>
    <s v="AUTOMATIZACION"/>
    <s v="AT_01"/>
    <x v="2"/>
    <x v="34"/>
  </r>
  <r>
    <s v="DIAG. LÓGICOS DE CONTROL TRANSP. CONCENTRADO UNDERFLOW - LÁM 011"/>
    <s v="B"/>
    <d v="2024-02-14T00:00:00"/>
    <x v="10"/>
    <s v="ESTUDIO"/>
    <n v="1"/>
    <s v="AUTOMATIZACION"/>
    <s v="AT_01"/>
    <x v="2"/>
    <x v="35"/>
  </r>
  <r>
    <s v="DIAG. LÓGICOS DE CONTROL TRANSP. CONCENTRADO UNDERFLOW - LÁM 012"/>
    <s v="B"/>
    <d v="2024-02-14T00:00:00"/>
    <x v="10"/>
    <s v="ESTUDIO"/>
    <n v="1"/>
    <s v="AUTOMATIZACION"/>
    <s v="AT_01"/>
    <x v="2"/>
    <x v="36"/>
  </r>
  <r>
    <s v="DIAG. LÓGICOS DE CONTROL TRANSP. CONCENTRADO UNDERFLOW - LÁM 013"/>
    <s v="B"/>
    <d v="2024-02-14T00:00:00"/>
    <x v="10"/>
    <s v="ESTUDIO"/>
    <n v="1"/>
    <s v="AUTOMATIZACION"/>
    <s v="AT_01"/>
    <x v="2"/>
    <x v="37"/>
  </r>
  <r>
    <s v="DIAG. LÓGICOS DE CONTROL TRANSP. CONCENTRADO UNDERFLOW - LÁM 014"/>
    <s v="B"/>
    <d v="2024-02-14T00:00:00"/>
    <x v="10"/>
    <s v="ESTUDIO"/>
    <n v="1"/>
    <s v="AUTOMATIZACION"/>
    <s v="AT_01"/>
    <x v="2"/>
    <x v="38"/>
  </r>
  <r>
    <s v="DIAG. LÓGICOS DE CONTROL TRANSP. CONCENTRADO UNDERFLOW - LÁM 015"/>
    <s v="B"/>
    <d v="2024-02-14T00:00:00"/>
    <x v="10"/>
    <s v="ESTUDIO"/>
    <n v="1"/>
    <s v="AUTOMATIZACION"/>
    <s v="AT_01"/>
    <x v="2"/>
    <x v="39"/>
  </r>
  <r>
    <s v="DIAGRAMA DE LAZO 03351-FIT-1081 / HV-1084"/>
    <n v="1"/>
    <d v="2024-02-14T00:00:00"/>
    <x v="10"/>
    <s v="ESTUDIO"/>
    <n v="1"/>
    <s v="AUTOMATIZACION"/>
    <s v="AT_01"/>
    <x v="2"/>
    <x v="40"/>
  </r>
  <r>
    <s v="DIAGRAMA DE LAZO 03351-FIT-1082 / HV-1085"/>
    <n v="1"/>
    <d v="2024-02-14T00:00:00"/>
    <x v="10"/>
    <s v="ESTUDIO"/>
    <n v="1"/>
    <s v="AUTOMATIZACION"/>
    <s v="AT_01"/>
    <x v="2"/>
    <x v="41"/>
  </r>
  <r>
    <s v="DIAGRAMA DE LAZO 03351-LSHL-1041 / BVT-001, 03351-LIT-1031"/>
    <n v="1"/>
    <d v="2024-02-14T00:00:00"/>
    <x v="10"/>
    <s v="ESTUDIO"/>
    <n v="1"/>
    <s v="AUTOMATIZACION"/>
    <s v="AT_01"/>
    <x v="2"/>
    <x v="42"/>
  </r>
  <r>
    <s v="DIAGRAMA DE LAZO 03351-FIT-1057 / DIT-1058"/>
    <n v="0"/>
    <d v="2024-02-14T00:00:00"/>
    <x v="10"/>
    <s v="ESTUDIO"/>
    <n v="1"/>
    <s v="AUTOMATIZACION"/>
    <s v="AT_01"/>
    <x v="2"/>
    <x v="43"/>
  </r>
  <r>
    <s v="DIAGRAMA DE LAZO 03351-FIT-1067 / DIT-1068"/>
    <n v="0"/>
    <d v="2024-02-14T00:00:00"/>
    <x v="10"/>
    <s v="ESTUDIO"/>
    <n v="1"/>
    <s v="AUTOMATIZACION"/>
    <s v="AT_01"/>
    <x v="2"/>
    <x v="1"/>
  </r>
  <r>
    <s v="DIAGRAMA DE LAZO 03351-PIT-1056 / VDF-001"/>
    <n v="1"/>
    <d v="2024-02-14T00:00:00"/>
    <x v="10"/>
    <s v="ESTUDIO"/>
    <n v="1"/>
    <s v="AUTOMATIZACION"/>
    <s v="AT_01"/>
    <x v="2"/>
    <x v="1"/>
  </r>
  <r>
    <s v="DIAGRAMA DE LAZO 03351-PIT-1066 / VDF-002"/>
    <n v="1"/>
    <d v="2024-02-14T00:00:00"/>
    <x v="10"/>
    <s v="ESTUDIO"/>
    <n v="1"/>
    <s v="AUTOMATIZACION"/>
    <s v="AT_01"/>
    <x v="2"/>
    <x v="1"/>
  </r>
  <r>
    <s v="DIAGRAMA DE LAZO 03351-PIT-1076 / VDF-003"/>
    <n v="1"/>
    <d v="2024-02-14T00:00:00"/>
    <x v="10"/>
    <s v="ESTUDIO"/>
    <n v="1"/>
    <s v="AUTOMATIZACION"/>
    <s v="AT_01"/>
    <x v="2"/>
    <x v="1"/>
  </r>
  <r>
    <s v="DIAGRAMA DE LAZO 03351-LIT-1032 / HV-1026, 03351-PIT-1140"/>
    <n v="1"/>
    <d v="2024-02-14T00:00:00"/>
    <x v="10"/>
    <s v="ESTUDIO"/>
    <n v="1"/>
    <s v="AUTOMATIZACION"/>
    <s v="AT_01"/>
    <x v="2"/>
    <x v="1"/>
  </r>
  <r>
    <s v="DIAGRAMA DE LAZO 03351-PIT-1080 / PV-1080 / BOC-004 / BOC-005"/>
    <n v="1"/>
    <d v="2024-02-14T00:00:00"/>
    <x v="10"/>
    <s v="ESTUDIO"/>
    <n v="1"/>
    <s v="AUTOMATIZACION"/>
    <s v="AT_01"/>
    <x v="2"/>
    <x v="1"/>
  </r>
  <r>
    <s v="CRITERIO DE DISEÑO INSTRUMENTACIÓN"/>
    <n v="0"/>
    <d v="2024-02-14T00:00:00"/>
    <x v="12"/>
    <s v="ESTUDIO"/>
    <n v="33"/>
    <s v="AUTOMATIZACION"/>
    <s v="AT_01"/>
    <x v="2"/>
    <x v="44"/>
  </r>
  <r>
    <s v="CUBICACIÓN DE MATERIALES DE INSTRUMENTACIÓN"/>
    <n v="0"/>
    <d v="2024-02-14T00:00:00"/>
    <x v="13"/>
    <s v="ESTUDIO"/>
    <n v="8"/>
    <s v="AUTOMATIZACION"/>
    <s v="AT_01"/>
    <x v="2"/>
    <x v="45"/>
  </r>
  <r>
    <s v="ESPECIFICACIÓN TÉCNICA INSTRUMENTOS DE TERRENO"/>
    <n v="0"/>
    <d v="2024-02-14T00:00:00"/>
    <x v="11"/>
    <s v="ESTUDIO"/>
    <n v="33"/>
    <s v="AUTOMATIZACION"/>
    <s v="AT_01"/>
    <x v="2"/>
    <x v="46"/>
  </r>
  <r>
    <s v="ESPECIFICACIÓN TÉCNICA EQUIPOS DE CONTROL"/>
    <n v="1"/>
    <d v="2024-02-14T00:00:00"/>
    <x v="11"/>
    <s v="ESTUDIO"/>
    <n v="27"/>
    <s v="AUTOMATIZACION"/>
    <s v="AT_01"/>
    <x v="2"/>
    <x v="47"/>
  </r>
  <r>
    <s v="HOJA DE DATOS INSTRUMENTOS DE NIVEL"/>
    <n v="1"/>
    <d v="2024-02-14T00:00:00"/>
    <x v="14"/>
    <s v="ESTUDIO"/>
    <n v="13"/>
    <s v="AUTOMATIZACION"/>
    <s v="AT_01"/>
    <x v="2"/>
    <x v="48"/>
  </r>
  <r>
    <s v="HOJA DE DATOS SISTEMA DE CONTROL"/>
    <n v="1"/>
    <d v="2024-02-14T00:00:00"/>
    <x v="14"/>
    <s v="ESTUDIO"/>
    <n v="10"/>
    <s v="AUTOMATIZACION"/>
    <s v="AT_01"/>
    <x v="2"/>
    <x v="49"/>
  </r>
  <r>
    <s v="HOJA DE DATOS INSTRUMENTOS DE PRESIÓN"/>
    <n v="1"/>
    <d v="2024-02-14T00:00:00"/>
    <x v="14"/>
    <s v="ESTUDIO"/>
    <n v="11"/>
    <s v="AUTOMATIZACION"/>
    <s v="AT_01"/>
    <x v="2"/>
    <x v="50"/>
  </r>
  <r>
    <s v="HOJA DE DATOS INSTRUMENTOS DE FLUJO"/>
    <n v="1"/>
    <d v="2024-02-14T00:00:00"/>
    <x v="14"/>
    <s v="ESTUDIO"/>
    <n v="9"/>
    <s v="AUTOMATIZACION"/>
    <s v="AT_01"/>
    <x v="2"/>
    <x v="51"/>
  </r>
  <r>
    <s v="HOJA DE DATOS EQUIPOS DE CCTV"/>
    <n v="1"/>
    <d v="2024-02-14T00:00:00"/>
    <x v="14"/>
    <s v="ESTUDIO"/>
    <n v="17"/>
    <s v="AUTOMATIZACION"/>
    <s v="AT_01"/>
    <x v="2"/>
    <x v="52"/>
  </r>
  <r>
    <s v="HOJA DE DATOS EQUIPOS DE COMUNICACIÓN"/>
    <n v="1"/>
    <d v="2024-02-14T00:00:00"/>
    <x v="14"/>
    <s v="ESTUDIO"/>
    <n v="8"/>
    <s v="AUTOMATIZACION"/>
    <s v="AT_01"/>
    <x v="2"/>
    <x v="53"/>
  </r>
  <r>
    <s v="HOJA DE DATOS TABLEROS DE CONTROL NEUMÁTICO"/>
    <n v="0"/>
    <d v="2024-02-14T00:00:00"/>
    <x v="14"/>
    <s v="ESTUDIO"/>
    <n v="15"/>
    <s v="AUTOMATIZACION"/>
    <s v="AT_01"/>
    <x v="2"/>
    <x v="54"/>
  </r>
  <r>
    <s v="ACTUALIZACIÓN DE FILOSOFÍA DE OPERACIÓN Y CONTROL"/>
    <n v="0"/>
    <d v="2024-02-14T00:00:00"/>
    <x v="5"/>
    <s v="ESTUDIO"/>
    <n v="37"/>
    <s v="AUTOMATIZACION"/>
    <s v="AT_01"/>
    <x v="2"/>
    <x v="55"/>
  </r>
  <r>
    <s v="LISTADO DE CIRCUITOS"/>
    <n v="0"/>
    <d v="2024-02-14T00:00:00"/>
    <x v="8"/>
    <s v="ESTUDIO"/>
    <n v="10"/>
    <s v="AUTOMATIZACION"/>
    <s v="AT_01"/>
    <x v="2"/>
    <x v="56"/>
  </r>
  <r>
    <s v="LISTADO DE ENTRADAS Y SALIDAS"/>
    <n v="1"/>
    <d v="2024-02-14T00:00:00"/>
    <x v="8"/>
    <s v="ESTUDIO"/>
    <n v="19"/>
    <s v="AUTOMATIZACION"/>
    <s v="AT_01"/>
    <x v="2"/>
    <x v="57"/>
  </r>
  <r>
    <s v="LISTADO DE INSTRUMENTOS"/>
    <n v="1"/>
    <d v="2024-02-14T00:00:00"/>
    <x v="8"/>
    <s v="ESTUDIO"/>
    <n v="6"/>
    <s v="AUTOMATIZACION"/>
    <s v="AT_01"/>
    <x v="2"/>
    <x v="58"/>
  </r>
  <r>
    <s v="LISTADO DE TIE IN INSTRUMENTACIÓN"/>
    <n v="1"/>
    <d v="2024-02-14T00:00:00"/>
    <x v="8"/>
    <s v="ESTUDIO"/>
    <n v="6"/>
    <s v="AUTOMATIZACION"/>
    <s v="AT_01"/>
    <x v="2"/>
    <x v="59"/>
  </r>
  <r>
    <s v="AGUA DE PROCESO - DISPOSICIÓN GENERAL SECCIONES Y DETALLES"/>
    <s v="B"/>
    <d v="2024-02-14T00:00:00"/>
    <x v="10"/>
    <s v="ESTUDIO"/>
    <n v="1"/>
    <s v="CAÑERIAS"/>
    <s v="CA_01"/>
    <x v="2"/>
    <x v="60"/>
  </r>
  <r>
    <s v="AGUA RECUPERADA - DISPOSICIÓN GENERAL SECCIONES Y DETALLES"/>
    <s v="B"/>
    <d v="2024-02-14T00:00:00"/>
    <x v="10"/>
    <s v="ESTUDIO"/>
    <n v="1"/>
    <s v="CAÑERIAS"/>
    <s v="CA_01"/>
    <x v="2"/>
    <x v="61"/>
  </r>
  <r>
    <s v="CONCENTRADO CU-MO - DISPOSICIÓN GENERAL (1 DE 2) PLANTA"/>
    <s v="B"/>
    <d v="2024-02-14T00:00:00"/>
    <x v="10"/>
    <s v="ESTUDIO"/>
    <n v="1"/>
    <s v="CAÑERIAS"/>
    <s v="CA_01"/>
    <x v="2"/>
    <x v="62"/>
  </r>
  <r>
    <s v="LÍNEAS DE CONCENTRADO CU-MO - DISPOSICIÓN GENERAL SECCIONES Y DETALLES (1 DE 3)"/>
    <s v="B"/>
    <d v="2024-02-14T00:00:00"/>
    <x v="10"/>
    <s v="ESTUDIO"/>
    <n v="1"/>
    <s v="CAÑERIAS"/>
    <s v="CA_01"/>
    <x v="2"/>
    <x v="63"/>
  </r>
  <r>
    <s v="LÍNEAS DE CONCENTRADO CU-MO - DISPOSICIÓN GENERAL SECCIONES Y DETALLES (2 DE 3)"/>
    <s v="B"/>
    <d v="2024-02-14T00:00:00"/>
    <x v="10"/>
    <s v="ESTUDIO"/>
    <n v="1"/>
    <s v="CAÑERIAS"/>
    <s v="CA_01"/>
    <x v="2"/>
    <x v="64"/>
  </r>
  <r>
    <s v="RED DE INCENDIO - DISPOSICIÓN GENERAL PLANTA"/>
    <s v="B"/>
    <d v="2024-02-14T00:00:00"/>
    <x v="10"/>
    <s v="ESTUDIO"/>
    <n v="1"/>
    <s v="CAÑERIAS"/>
    <s v="CA_01"/>
    <x v="2"/>
    <x v="65"/>
  </r>
  <r>
    <s v="RED DE INCENDIO - DISPOSICIÓN GENERAL SECCIONES Y DETALLES"/>
    <s v="B"/>
    <d v="2024-02-14T00:00:00"/>
    <x v="10"/>
    <s v="ESTUDIO"/>
    <n v="1"/>
    <s v="CAÑERIAS"/>
    <s v="CA_01"/>
    <x v="2"/>
    <x v="66"/>
  </r>
  <r>
    <s v="LÍNEAS COLAS PRIMERA LIMPIEZA PLANTA"/>
    <s v="B"/>
    <d v="2024-02-14T00:00:00"/>
    <x v="10"/>
    <s v="ESTUDIO"/>
    <n v="1"/>
    <s v="CAÑERIAS"/>
    <s v="CA_01"/>
    <x v="2"/>
    <x v="67"/>
  </r>
  <r>
    <s v="P&amp;ID - SIMBOLOGÍA Y NOMENCLATURA MECÁNICA PIPING"/>
    <n v="0"/>
    <d v="2024-02-14T00:00:00"/>
    <x v="15"/>
    <s v="ESTUDIO"/>
    <n v="1"/>
    <s v="PROCESOS"/>
    <s v="CA_01"/>
    <x v="2"/>
    <x v="68"/>
  </r>
  <r>
    <s v="P&amp;ID - ESPESADOR DE CONCENTRADO COLECTIVO"/>
    <n v="1"/>
    <d v="2024-02-14T00:00:00"/>
    <x v="15"/>
    <s v="ESTUDIO"/>
    <n v="1"/>
    <s v="PROCESOS"/>
    <s v="CA_01"/>
    <x v="2"/>
    <x v="69"/>
  </r>
  <r>
    <s v="P&amp;ID - BOMBAS UNDERFLOW ESPESADOR"/>
    <n v="1"/>
    <d v="2024-02-14T00:00:00"/>
    <x v="15"/>
    <s v="ESTUDIO"/>
    <n v="1"/>
    <s v="PROCESOS"/>
    <s v="CA_01"/>
    <x v="2"/>
    <x v="70"/>
  </r>
  <r>
    <s v="P&amp;ID - TIE-IN, CAJONES DE TRASPASO Y RETORNOS"/>
    <n v="1"/>
    <d v="2024-02-14T00:00:00"/>
    <x v="15"/>
    <s v="ESTUDIO"/>
    <n v="1"/>
    <s v="PROCESOS"/>
    <s v="CA_01"/>
    <x v="2"/>
    <x v="71"/>
  </r>
  <r>
    <s v="P&amp;ID - AIRE DE INSTRUMENTACIÓN"/>
    <n v="0"/>
    <d v="2024-02-14T00:00:00"/>
    <x v="15"/>
    <s v="ESTUDIO"/>
    <n v="1"/>
    <s v="PROCESOS"/>
    <s v="CA_01"/>
    <x v="2"/>
    <x v="72"/>
  </r>
  <r>
    <s v="P&amp;ID - SISTEMA DE PROTECIÓN CONTRA INCENDIO"/>
    <n v="0"/>
    <d v="2024-02-14T00:00:00"/>
    <x v="15"/>
    <s v="ESTUDIO"/>
    <n v="1"/>
    <s v="PROCESOS"/>
    <s v="CA_01"/>
    <x v="2"/>
    <x v="73"/>
  </r>
  <r>
    <s v="TIE-IN 001 CONCENTRADO COLECTIVO ALTERNATIVA N°1  PLANTA, DETALLES Y SECCIONES"/>
    <n v="0"/>
    <d v="2024-02-14T00:00:00"/>
    <x v="10"/>
    <s v="ESTUDIO"/>
    <n v="1"/>
    <s v="CAÑERIAS"/>
    <s v="CA_01"/>
    <x v="2"/>
    <x v="74"/>
  </r>
  <r>
    <s v="TIE-IN 002 Y TIE-IN 004 COLAS PRIMERA LIMPIEZA PLANTA, DETALLES Y SECCIONES"/>
    <n v="0"/>
    <d v="2024-02-14T00:00:00"/>
    <x v="10"/>
    <s v="ESTUDIO"/>
    <n v="1"/>
    <s v="CAÑERIAS"/>
    <s v="CA_01"/>
    <x v="2"/>
    <x v="75"/>
  </r>
  <r>
    <s v="TIE-IN 001 CONCENTRADO COLECTIVO ALTERNATIVA N°2 Y TIE-IN 003 AGUA DE PROCESO - PLANTA, DET. Y SEC."/>
    <n v="1"/>
    <d v="2024-02-14T00:00:00"/>
    <x v="10"/>
    <s v="ESTUDIO"/>
    <n v="1"/>
    <s v="CAÑERIAS"/>
    <s v="CA_01"/>
    <x v="2"/>
    <x v="76"/>
  </r>
  <r>
    <s v="TIE-IN 03351-001 CONCENTRADO CU-MO PLANTA Y SECCIÓN"/>
    <s v="B"/>
    <d v="2024-02-14T00:00:00"/>
    <x v="10"/>
    <s v="ESTUDIO"/>
    <n v="1"/>
    <s v="CAÑERIAS"/>
    <s v="CA_01"/>
    <x v="2"/>
    <x v="77"/>
  </r>
  <r>
    <s v="TIE-IN 03351-002 Y 03351-004 COLAS PRIMERA LIMPIEZA PLANTA Y SECCIONES"/>
    <s v="B"/>
    <d v="2024-02-14T00:00:00"/>
    <x v="10"/>
    <s v="ESTUDIO"/>
    <n v="1"/>
    <s v="CAÑERIAS"/>
    <s v="CA_01"/>
    <x v="2"/>
    <x v="78"/>
  </r>
  <r>
    <s v="TIE-IN 03351-003 AGUA DE PROCESO PLANTA Y SECCIÓN"/>
    <s v="B"/>
    <d v="2024-02-14T00:00:00"/>
    <x v="10"/>
    <s v="ESTUDIO"/>
    <n v="1"/>
    <s v="CAÑERIAS"/>
    <s v="CA_01"/>
    <x v="2"/>
    <x v="79"/>
  </r>
  <r>
    <s v="TIE-IN 03351-005/006 AIRE DE INSTRUMENTACIÓN PLANTA Y SECCIONES"/>
    <s v="B"/>
    <d v="2024-02-14T00:00:00"/>
    <x v="10"/>
    <s v="ESTUDIO"/>
    <n v="1"/>
    <s v="CAÑERIAS"/>
    <s v="CA_01"/>
    <x v="2"/>
    <x v="80"/>
  </r>
  <r>
    <s v="TIE-IN 03351-0007 - RED DE INCENDIO PLANTA, SECCIONES Y DETALLES"/>
    <s v="B"/>
    <d v="2024-02-14T00:00:00"/>
    <x v="10"/>
    <s v="ESTUDIO"/>
    <n v="1"/>
    <s v="CAÑERIAS"/>
    <s v="CA_01"/>
    <x v="2"/>
    <x v="81"/>
  </r>
  <r>
    <s v="ISOEMTRICO DE CAÑERIAS - 03351-CT-6&quot;-C3-0005-R3 (3 LAMINAS)"/>
    <s v="B"/>
    <d v="2024-02-14T00:00:00"/>
    <x v="16"/>
    <s v="ESTUDIO"/>
    <n v="3"/>
    <s v="CAÑERIAS"/>
    <s v="CA_01"/>
    <x v="2"/>
    <x v="82"/>
  </r>
  <r>
    <s v="ISOEMTRICO DE CAÑERIAS - 03351-CT-6&quot;-C3-0018-R3 (25 LAMINAS)"/>
    <s v="B"/>
    <d v="2024-02-14T00:00:00"/>
    <x v="16"/>
    <s v="ESTUDIO"/>
    <n v="25"/>
    <s v="CAÑERIAS"/>
    <s v="CA_01"/>
    <x v="2"/>
    <x v="83"/>
  </r>
  <r>
    <s v="ISOEMTRICO DE CAÑERIAS - 03351-CT-6&quot;-C3-0006-R3 (3 LAMINAS)"/>
    <s v="B"/>
    <d v="2024-02-14T00:00:00"/>
    <x v="16"/>
    <s v="ESTUDIO"/>
    <n v="3"/>
    <s v="CAÑERIAS"/>
    <s v="CA_01"/>
    <x v="2"/>
    <x v="84"/>
  </r>
  <r>
    <s v="ISOEMTRICO DE CAÑERIAS - 03351-CT-6&quot;-C3-0021-R3 (26 LAMINAS)"/>
    <s v="B"/>
    <d v="2024-02-14T00:00:00"/>
    <x v="16"/>
    <s v="ESTUDIO"/>
    <n v="26"/>
    <s v="CAÑERIAS"/>
    <s v="CA_01"/>
    <x v="2"/>
    <x v="85"/>
  </r>
  <r>
    <s v="ISOEMTRICO DE CAÑERIAS - 03351-CT-6&quot;-C3-0007-R3 (3 LAMINAS)"/>
    <s v="B"/>
    <d v="2024-02-14T00:00:00"/>
    <x v="16"/>
    <s v="ESTUDIO"/>
    <n v="3"/>
    <s v="CAÑERIAS"/>
    <s v="CA_01"/>
    <x v="2"/>
    <x v="86"/>
  </r>
  <r>
    <s v="ISOEMTRICO DE CAÑERIAS - 03351-CT-6&quot;-C3-0023-R3 (5 LAMINAS)"/>
    <s v="B"/>
    <d v="2024-02-14T00:00:00"/>
    <x v="16"/>
    <s v="ESTUDIO"/>
    <n v="5"/>
    <s v="CAÑERIAS"/>
    <s v="CA_01"/>
    <x v="2"/>
    <x v="87"/>
  </r>
  <r>
    <s v="ISOEMTRICO DE CAÑERIAS - 03351-CT-6&quot;-C3-0046-R3 (5 LAMINAS)"/>
    <s v="B"/>
    <d v="2024-02-14T00:00:00"/>
    <x v="16"/>
    <s v="ESTUDIO"/>
    <n v="5"/>
    <s v="CAÑERIAS"/>
    <s v="CA_01"/>
    <x v="2"/>
    <x v="88"/>
  </r>
  <r>
    <s v="ISOEMTRICO DE CAÑERIAS - 03351-CT-6&quot;-C3-0030-R3"/>
    <s v="B"/>
    <d v="2024-02-14T00:00:00"/>
    <x v="16"/>
    <s v="ESTUDIO"/>
    <n v="1"/>
    <s v="CAÑERIAS"/>
    <s v="CA_01"/>
    <x v="2"/>
    <x v="89"/>
  </r>
  <r>
    <s v="ISOEMTRICO DE CAÑERIAS - 03351-CT-6&quot;-C3-0050-R3 (2 LAMINAS)"/>
    <s v="B"/>
    <d v="2024-02-14T00:00:00"/>
    <x v="16"/>
    <s v="ESTUDIO"/>
    <n v="2"/>
    <s v="CAÑERIAS"/>
    <s v="CA_01"/>
    <x v="2"/>
    <x v="90"/>
  </r>
  <r>
    <s v="ISOEMTRICO DE CAÑERIAS - 03351-CT-6&quot;-C11-0001-N (15 LAMINAS)"/>
    <s v="B"/>
    <d v="2024-02-14T00:00:00"/>
    <x v="16"/>
    <s v="ESTUDIO"/>
    <n v="15"/>
    <s v="CAÑERIAS"/>
    <s v="CA_01"/>
    <x v="2"/>
    <x v="91"/>
  </r>
  <r>
    <s v="ISOEMTRICO DE CAÑERIAS - 03351-CT-6&quot;-C2-0047-N (2 LAMINAS)"/>
    <s v="B"/>
    <d v="2024-02-14T00:00:00"/>
    <x v="16"/>
    <s v="ESTUDIO"/>
    <n v="2"/>
    <s v="CAÑERIAS"/>
    <s v="CA_01"/>
    <x v="2"/>
    <x v="92"/>
  </r>
  <r>
    <s v="ACTUALIZACIÓN CRITERIO DISEÑO RED CONTRA INCENDIO"/>
    <n v="0"/>
    <d v="2024-02-14T00:00:00"/>
    <x v="12"/>
    <s v="ESTUDIO"/>
    <n v="13"/>
    <s v="CAÑERIAS"/>
    <s v="CA_01"/>
    <x v="2"/>
    <x v="93"/>
  </r>
  <r>
    <s v="CUBICACIÓN DE MATERIALES DE CAÑERÍAS TODOS LOS SERVICIOS"/>
    <s v="B"/>
    <d v="2024-02-14T00:00:00"/>
    <x v="13"/>
    <s v="ESTUDIO"/>
    <n v="109"/>
    <s v="CAÑERIAS"/>
    <s v="CA_01"/>
    <x v="2"/>
    <x v="94"/>
  </r>
  <r>
    <s v="MEMORIA DE CÁLCULO FLEXIBILIDAD DE IMPULSIÓN"/>
    <n v="0"/>
    <d v="2024-02-14T00:00:00"/>
    <x v="17"/>
    <s v="ESTUDIO"/>
    <n v="188"/>
    <s v="CAÑERIAS"/>
    <s v="CA_01"/>
    <x v="2"/>
    <x v="95"/>
  </r>
  <r>
    <s v="MEMORIA DE CÁLCULO LÍNEAS DE CONCENTRADO COLECTIVO Y COLAS DE 1° LIMPIEZA"/>
    <n v="0"/>
    <d v="2024-02-14T00:00:00"/>
    <x v="17"/>
    <s v="ESTUDIO"/>
    <n v="10"/>
    <s v="CAÑERIAS"/>
    <s v="CA_01"/>
    <x v="2"/>
    <x v="96"/>
  </r>
  <r>
    <s v="ACTUALIZACION INFORME TALLER DE CONSTRUCTIBILIDAD"/>
    <s v="B"/>
    <d v="2024-02-14T00:00:00"/>
    <x v="5"/>
    <s v="ESTUDIO"/>
    <n v="97"/>
    <s v="GENERAL"/>
    <s v="MD_01"/>
    <x v="2"/>
    <x v="1"/>
  </r>
  <r>
    <s v="TALLER DE CONSTRUCTIBILIDAD - ETAPA ING. DE DETALLE - PROY. ESPESADOR CONCENTRADO COLECTIVO PMFC"/>
    <s v="-"/>
    <d v="2024-02-14T00:00:00"/>
    <x v="18"/>
    <s v="ESTUDIO"/>
    <n v="49"/>
    <s v="GENERAL"/>
    <s v="MD_01"/>
    <x v="1"/>
    <x v="0"/>
  </r>
  <r>
    <s v="ANEXO - TALLER DE CONSTRUCTIBILIDAD - MATRIZ DE HALLAZGOS"/>
    <s v="-"/>
    <d v="2024-02-14T00:00:00"/>
    <x v="8"/>
    <s v="ESTUDIO"/>
    <s v="-"/>
    <s v="GENERAL"/>
    <s v="MD_01"/>
    <x v="1"/>
    <x v="0"/>
  </r>
  <r>
    <s v="LISTA VERIFICACION RESSO V"/>
    <n v="7"/>
    <d v="2024-02-14T00:00:00"/>
    <x v="8"/>
    <s v="ESTUDIO"/>
    <s v="-"/>
    <s v="SSO"/>
    <s v="SSO MA DAND/1 RESSO -RESEC"/>
    <x v="1"/>
    <x v="0"/>
  </r>
  <r>
    <s v="PROCEDIMIENTO DE SEGURIDAD Y SALUD OCUPACIONAL APLICABLE A LAS EMPRESAS CONTRATISTAS  &quot;RESEC DE SEGURIDAD Y SALUD EN EL TRABAJO”"/>
    <n v="9"/>
    <d v="2024-02-14T00:00:00"/>
    <x v="7"/>
    <s v="ESTUDIO"/>
    <n v="12"/>
    <s v="SSO"/>
    <s v="SSO MA DAND/1 RESSO -RESEC"/>
    <x v="1"/>
    <x v="0"/>
  </r>
  <r>
    <s v="REGLAMENTO ESPECIAL DE SEGURIDAD Y SALUD OCUPACIONAL"/>
    <n v="9"/>
    <d v="2024-02-14T00:00:00"/>
    <x v="19"/>
    <s v="N. REVISION"/>
    <n v="60"/>
    <s v="SSO"/>
    <s v="SSO MA DAND/1 RESSO -RESEC"/>
    <x v="1"/>
    <x v="0"/>
  </r>
  <r>
    <s v="FORMULARIO REQUISITOS LEGALES"/>
    <s v="-"/>
    <d v="2024-02-14T00:00:00"/>
    <x v="2"/>
    <s v="ESTUDIO"/>
    <s v="-"/>
    <s v="SSO"/>
    <s v="SSO MA DAND/2 Req. Legales"/>
    <x v="1"/>
    <x v="0"/>
  </r>
  <r>
    <s v="IDENTIFICACION Y REGISTRO DE REQUISITOS LEGALES Y OTROS REQUISITOS"/>
    <n v="13"/>
    <d v="2024-02-14T00:00:00"/>
    <x v="7"/>
    <s v="ESTUDIO"/>
    <n v="8"/>
    <s v="SSO"/>
    <s v="SSO MA DAND/2 Req. Legales"/>
    <x v="1"/>
    <x v="0"/>
  </r>
  <r>
    <s v="GESTION DE CONTROLES CRITICOS - INTERACCIÓN CON ENERGÍA ELÉCTRICA"/>
    <n v="0"/>
    <d v="2024-02-14T00:00:00"/>
    <x v="18"/>
    <s v="ESTUDIO"/>
    <n v="83"/>
    <s v="SSO"/>
    <s v="SSO MA DAND/3 Controles Criticos Corporativos"/>
    <x v="1"/>
    <x v="0"/>
  </r>
  <r>
    <s v="GESTION DE CONTROLES CRITICOS - PÉRDIDA DE EQUILIBRIO TRABAJO EN ALTURA FÍSICA"/>
    <n v="0"/>
    <d v="2024-02-14T00:00:00"/>
    <x v="18"/>
    <s v="ESTUDIO"/>
    <n v="64"/>
    <s v="SSO"/>
    <s v="SSO MA DAND/3 Controles Criticos Corporativos"/>
    <x v="1"/>
    <x v="0"/>
  </r>
  <r>
    <s v="GESTION DE CONTROLES CRITICOS - PÉRDIDA DE CONTROL MANIOBRAS DE IZAJE"/>
    <n v="0"/>
    <d v="2024-02-14T00:00:00"/>
    <x v="18"/>
    <s v="OBSOLETO"/>
    <n v="76"/>
    <s v="SSO"/>
    <s v="SSO MA DAND/3 Controles Criticos Corporativos"/>
    <x v="1"/>
    <x v="0"/>
  </r>
  <r>
    <s v="-"/>
    <s v="-"/>
    <d v="2024-02-14T00:00:00"/>
    <x v="20"/>
    <s v="DAÑADO"/>
    <s v="-"/>
    <s v="-"/>
    <s v="SSO MA DAND/3 Controles Criticos Corporativos"/>
    <x v="1"/>
    <x v="0"/>
  </r>
  <r>
    <s v="-"/>
    <s v="-"/>
    <d v="2024-02-14T00:00:00"/>
    <x v="20"/>
    <s v="DAÑADO"/>
    <s v="-"/>
    <s v="-"/>
    <s v="SSO MA DAND/3 Controles Criticos Corporativos"/>
    <x v="1"/>
    <x v="0"/>
  </r>
  <r>
    <s v="GESTION DE CONTROLES CRITICOS - PÉRDIDA DE CONTROL VARIABLES DEL FUEGO"/>
    <n v="0"/>
    <d v="2024-02-14T00:00:00"/>
    <x v="18"/>
    <s v="ESTUDIO"/>
    <n v="65"/>
    <s v="SSO"/>
    <s v="SSO MA DAND/3 Controles Criticos Corporativos"/>
    <x v="1"/>
    <x v="0"/>
  </r>
  <r>
    <s v="-"/>
    <s v="-"/>
    <d v="2024-02-14T00:00:00"/>
    <x v="20"/>
    <s v="DAÑADO"/>
    <s v="-"/>
    <s v="-"/>
    <s v="SSO MA DAND/3 Controles Criticos Corporativos"/>
    <x v="1"/>
    <x v="0"/>
  </r>
  <r>
    <s v="GESTION DE CONTROLES CRITICOS - INTERACCIÓN CON PARTES MÓVILES"/>
    <n v="0"/>
    <d v="2024-02-14T00:00:00"/>
    <x v="18"/>
    <s v="ESTUDIO"/>
    <n v="51"/>
    <s v="SSO"/>
    <s v="SSO MA DAND/3 Controles Criticos Corporativos"/>
    <x v="1"/>
    <x v="0"/>
  </r>
  <r>
    <s v="GESTION DE CONTROLES CRITICOS - PÉRDIDA DE CONTROL DE VEHÍCULO LIVIANO"/>
    <n v="0"/>
    <d v="2024-02-14T00:00:00"/>
    <x v="18"/>
    <s v="ESTUDIO"/>
    <n v="62"/>
    <s v="SSO"/>
    <s v="SSO MA DAND/3 Controles Criticos Corporativos"/>
    <x v="1"/>
    <x v="0"/>
  </r>
  <r>
    <s v="GESTION DE CONTROLES CRITICOS - INTERACCIÓN CON ESPACIO CONFINADO"/>
    <n v="0"/>
    <d v="2024-02-14T00:00:00"/>
    <x v="18"/>
    <s v="ESTUDIO"/>
    <n v="66"/>
    <s v="SSO"/>
    <s v="SSO MA DAND/3 Controles Criticos Corporativos"/>
    <x v="1"/>
    <x v="0"/>
  </r>
  <r>
    <s v="GESTION DE CONTROLES CRITICOS - INTERACCIÓN CON METALES FUNDIDOS"/>
    <n v="0"/>
    <d v="2024-02-14T00:00:00"/>
    <x v="18"/>
    <s v="ESTUDIO"/>
    <n v="61"/>
    <s v="SSO"/>
    <s v="SSO MA DAND/3 Controles Criticos Corporativos"/>
    <x v="1"/>
    <x v="0"/>
  </r>
  <r>
    <s v="GESTION DE CONTROLES CRITICOS - PÉRDIDA DE CONTROL DE OBJETOS EN ALTURA"/>
    <n v="0"/>
    <d v="2024-02-14T00:00:00"/>
    <x v="18"/>
    <s v="ESTUDIO"/>
    <n v="55"/>
    <s v="SSO"/>
    <s v="SSO MA DAND/3 Controles Criticos Corporativos"/>
    <x v="1"/>
    <x v="0"/>
  </r>
  <r>
    <s v="-"/>
    <s v="-"/>
    <d v="2024-02-14T00:00:00"/>
    <x v="20"/>
    <s v="DAÑADO"/>
    <s v="-"/>
    <s v="-"/>
    <s v="SSO MA DAND/3 Controles Criticos Corporativos"/>
    <x v="1"/>
    <x v="0"/>
  </r>
  <r>
    <s v="GESTION DE CONTROLES CRITICOS - PÉRDIDA DE CONTROL ESTABILIDAD ROCA SUBTERRÁNEA"/>
    <n v="0"/>
    <d v="2024-02-14T00:00:00"/>
    <x v="18"/>
    <s v="ESTUDIO"/>
    <n v="69"/>
    <s v="SSO"/>
    <s v="SSO MA DAND/3 Controles Criticos Corporativos"/>
    <x v="1"/>
    <x v="0"/>
  </r>
  <r>
    <s v="-"/>
    <s v="-"/>
    <d v="2024-02-14T00:00:00"/>
    <x v="20"/>
    <s v="DAÑADO"/>
    <s v="-"/>
    <s v="-"/>
    <s v="SSO MA DAND/3 Controles Criticos Corporativos"/>
    <x v="1"/>
    <x v="0"/>
  </r>
  <r>
    <s v="-"/>
    <s v="-"/>
    <d v="2024-02-14T00:00:00"/>
    <x v="20"/>
    <s v="DAÑADO"/>
    <s v="-"/>
    <s v="-"/>
    <s v="SSO MA DAND/3 Controles Criticos Corporativos"/>
    <x v="1"/>
    <x v="0"/>
  </r>
  <r>
    <s v="-"/>
    <s v="-"/>
    <d v="2024-02-14T00:00:00"/>
    <x v="20"/>
    <s v="DAÑADO"/>
    <s v="-"/>
    <s v="-"/>
    <s v="SSO MA DAND/3 Controles Criticos Corporativos"/>
    <x v="1"/>
    <x v="0"/>
  </r>
  <r>
    <s v="GESTION DE CONTROLES CRITICOS - PÉRDIDA DE CONTROL ESTRUCTURAL DEL MACIZO ROCOSO"/>
    <n v="0"/>
    <d v="2024-02-14T00:00:00"/>
    <x v="18"/>
    <s v="ESTUDIO"/>
    <n v="80"/>
    <s v="SSO"/>
    <s v="SSO MA DAND/3 Controles Criticos Corporativos"/>
    <x v="1"/>
    <x v="0"/>
  </r>
  <r>
    <s v="-"/>
    <s v="-"/>
    <d v="2024-02-14T00:00:00"/>
    <x v="20"/>
    <s v="DAÑADO"/>
    <s v="-"/>
    <s v="-"/>
    <s v="SSO MA DAND/3 Controles Criticos Corporativos"/>
    <x v="1"/>
    <x v="0"/>
  </r>
  <r>
    <s v="-"/>
    <s v="-"/>
    <d v="2024-02-14T00:00:00"/>
    <x v="20"/>
    <s v="DAÑADO"/>
    <s v="-"/>
    <s v="-"/>
    <s v="SSO MA DAND/3 Controles Criticos Corporativos"/>
    <x v="1"/>
    <x v="0"/>
  </r>
  <r>
    <s v="GESTION DE CONTROLES CRITICOS - PÉRDIDA DE CONTROL DE EQUIPOS AUTÓNOMOS"/>
    <n v="0"/>
    <d v="2024-02-14T00:00:00"/>
    <x v="18"/>
    <s v="ESTUDIO"/>
    <n v="111"/>
    <s v="SSO"/>
    <s v="SSO MA DAND/3 Controles Criticos Corporativos"/>
    <x v="1"/>
    <x v="0"/>
  </r>
  <r>
    <s v="GESTION DE CONTROLES CRITICOS - INTERACCIÓN DE PERSONAS CON EQUIPOS/ VEHÍCULOS"/>
    <n v="0"/>
    <d v="2024-02-14T00:00:00"/>
    <x v="18"/>
    <s v="ESTUDIO"/>
    <n v="69"/>
    <s v="SSO"/>
    <s v="SSO MA DAND/3 Controles Criticos Corporativos"/>
    <x v="1"/>
    <x v="0"/>
  </r>
  <r>
    <s v="GESTION DE CONTROLES CRITICOS - PÉRDIDA DE CONTROL DE CAVING"/>
    <n v="0"/>
    <d v="2024-02-14T00:00:00"/>
    <x v="18"/>
    <s v="ESTUDIO"/>
    <n v="83"/>
    <s v="SSO"/>
    <s v="SSO MA DAND/3 Controles Criticos Corporativos"/>
    <x v="1"/>
    <x v="0"/>
  </r>
  <r>
    <s v="-"/>
    <s v="-"/>
    <d v="2024-02-14T00:00:00"/>
    <x v="20"/>
    <s v="DAÑADO"/>
    <s v="-"/>
    <s v="-"/>
    <s v="SSO MA DAND/3 Controles Criticos Corporativos"/>
    <x v="1"/>
    <x v="0"/>
  </r>
  <r>
    <s v="GUÍA – SIGO CODELCO CONTROLES CRITICOS DE SSO"/>
    <n v="0"/>
    <d v="2024-02-14T00:00:00"/>
    <x v="21"/>
    <s v="ESTUDIO"/>
    <n v="44"/>
    <s v="SSO"/>
    <s v="SSO MA DAND/3 Controles Criticos Corporativos"/>
    <x v="1"/>
    <x v="0"/>
  </r>
  <r>
    <s v="-"/>
    <s v="-"/>
    <d v="2024-02-14T00:00:00"/>
    <x v="20"/>
    <s v="DAÑADO"/>
    <s v="-"/>
    <s v="-"/>
    <s v="SSO MA DAND/4 Guia ECF- Formularios autoev/01 Grales"/>
    <x v="1"/>
    <x v="0"/>
  </r>
  <r>
    <s v="GUIA DE ESTANDARES DE CONTROL DE FATALIDADES (ENERO 2019)"/>
    <s v="-"/>
    <d v="2024-02-14T00:00:00"/>
    <x v="21"/>
    <s v="ESTUDIO"/>
    <n v="214"/>
    <s v="SSO"/>
    <s v="SSO MA DAND/4 Guia ECF- Formularios autoev/01 Grales"/>
    <x v="1"/>
    <x v="0"/>
  </r>
  <r>
    <s v="GUIA DE ESTANDARES DE CONTROL DE FATALIDADES PARTICULARES"/>
    <s v="-"/>
    <d v="2024-02-14T00:00:00"/>
    <x v="21"/>
    <s v="ESTUDIO"/>
    <n v="66"/>
    <s v="SSO"/>
    <s v="SSO MA DAND/4 Guia ECF- Formularios autoev/01 Grales"/>
    <x v="1"/>
    <x v="0"/>
  </r>
  <r>
    <s v="-"/>
    <s v="-"/>
    <d v="2024-02-14T00:00:00"/>
    <x v="20"/>
    <s v="DAÑADO"/>
    <s v="-"/>
    <s v="-"/>
    <s v="SSO MA DAND/4 Guia ECF- Formularios autoev/ECF N° 01"/>
    <x v="1"/>
    <x v="0"/>
  </r>
  <r>
    <s v="ECF N°1 - PROTOCOLO DE AISLAMIENTO Y BLOQUEO DE ENERGIAS"/>
    <n v="0"/>
    <d v="2024-02-14T00:00:00"/>
    <x v="2"/>
    <s v="ESTUDIO"/>
    <s v="-"/>
    <s v="SSO"/>
    <s v="SSO MA DAND/4 Guia ECF- Formularios autoev/ECF N° 01"/>
    <x v="1"/>
    <x v="0"/>
  </r>
  <r>
    <s v="-"/>
    <s v="-"/>
    <d v="2024-02-14T00:00:00"/>
    <x v="20"/>
    <s v="DAÑADO"/>
    <s v="-"/>
    <s v="-"/>
    <s v="SSO MA DAND/4 Guia ECF- Formularios autoev/ECF N° 01"/>
    <x v="1"/>
    <x v="0"/>
  </r>
  <r>
    <s v="ANDAMIOS MODULARES PREFABRICADOS"/>
    <n v="1"/>
    <d v="2024-02-14T00:00:00"/>
    <x v="7"/>
    <s v="ESTUDIO"/>
    <n v="12"/>
    <s v="SSO"/>
    <s v="SSO MA DAND/4 Guia ECF- Formularios autoev/ECF N° 02"/>
    <x v="1"/>
    <x v="0"/>
  </r>
  <r>
    <s v="APLICACIÓN REQUISITOS ECF-2 “TRABAJO EN ALTURA FÍSICA”"/>
    <n v="4"/>
    <d v="2024-02-14T00:00:00"/>
    <x v="7"/>
    <s v="ESTUDIO"/>
    <n v="21"/>
    <s v="SSO"/>
    <s v="SSO MA DAND/4 Guia ECF- Formularios autoev/ECF N° 02"/>
    <x v="1"/>
    <x v="0"/>
  </r>
  <r>
    <s v="ESTÁNDAR CONTROL DE FATALIDADES ECF 2 - TRABAJO EN ALTURA FÍSICA"/>
    <n v="1"/>
    <d v="2024-02-14T00:00:00"/>
    <x v="22"/>
    <s v="ESTUDIO"/>
    <n v="11"/>
    <s v="SSO"/>
    <s v="SSO MA DAND/4 Guia ECF- Formularios autoev/ECF N° 02"/>
    <x v="1"/>
    <x v="0"/>
  </r>
  <r>
    <s v="ECF N°2 - TRABAJO EN ALTURA FISICA "/>
    <s v="-"/>
    <d v="2024-02-14T00:00:00"/>
    <x v="18"/>
    <s v="ESTUDIO"/>
    <n v="7"/>
    <s v="SSO"/>
    <s v="SSO MA DAND/4 Guia ECF- Formularios autoev/ECF N° 02"/>
    <x v="1"/>
    <x v="0"/>
  </r>
  <r>
    <s v="ESCALERAS, PLATAFORMAS PERMANENTES Y ESCALAS EN DIVISIÓN ANDINA"/>
    <n v="0"/>
    <d v="2024-02-14T00:00:00"/>
    <x v="7"/>
    <s v="ESTUDIO"/>
    <n v="23"/>
    <s v="SSO"/>
    <s v="SSO MA DAND/4 Guia ECF- Formularios autoev/ECF N° 02"/>
    <x v="1"/>
    <x v="0"/>
  </r>
  <r>
    <s v="-"/>
    <s v="-"/>
    <d v="2024-02-14T00:00:00"/>
    <x v="20"/>
    <s v="DAÑADO"/>
    <s v="-"/>
    <s v="-"/>
    <s v="SSO MA DAND/4 Guia ECF- Formularios autoev/ECF N° 02"/>
    <x v="1"/>
    <x v="0"/>
  </r>
  <r>
    <s v="FORMULARIO LISTA DE VERIFICACIÓN ANDAMIOS MODULARES"/>
    <n v="1"/>
    <d v="2024-02-14T00:00:00"/>
    <x v="2"/>
    <s v="ESTUDIO"/>
    <s v="-"/>
    <s v="SSO"/>
    <s v="SSO MA DAND/4 Guia ECF- Formularios autoev/ECF N° 02"/>
    <x v="1"/>
    <x v="0"/>
  </r>
  <r>
    <s v="LISTA DE VERIFICACIÓN SPDC"/>
    <n v="1"/>
    <d v="2024-02-14T00:00:00"/>
    <x v="2"/>
    <s v="ESTUDIO"/>
    <s v="-"/>
    <s v="SSO"/>
    <s v="SSO MA DAND/4 Guia ECF- Formularios autoev/ECF N° 02"/>
    <x v="1"/>
    <x v="0"/>
  </r>
  <r>
    <s v="FORMULARIO PERMISO REMOCIÓN DE GRATINGS Y/O PLANCHAS DE PISOS INDUSTRIALES Y BARANDAS"/>
    <n v="1"/>
    <d v="2024-02-14T00:00:00"/>
    <x v="2"/>
    <s v="ESTUDIO"/>
    <s v="-"/>
    <s v="SSO"/>
    <s v="SSO MA DAND/4 Guia ECF- Formularios autoev/ECF N° 02"/>
    <x v="1"/>
    <x v="0"/>
  </r>
  <r>
    <s v="FORMULARIO PRE USO ESCALAS MOVILES"/>
    <n v="0"/>
    <d v="2024-02-14T00:00:00"/>
    <x v="2"/>
    <s v="ESTUDIO"/>
    <n v="2"/>
    <s v="SSO"/>
    <s v="SSO MA DAND/4 Guia ECF- Formularios autoev/ECF N° 02"/>
    <x v="1"/>
    <x v="0"/>
  </r>
  <r>
    <s v="GUÍA PARA LA SELECCIÓN Y CONTROL DE EQUIPOS DE PROTECCIÓN PERSONAL PARA TRABAJOS CON RIESGO DE CAÍDA"/>
    <s v="-"/>
    <d v="2024-02-14T00:00:00"/>
    <x v="5"/>
    <s v="ESTUDIO"/>
    <n v="24"/>
    <s v="SSO"/>
    <s v="SSO MA DAND/4 Guia ECF- Formularios autoev/ECF N° 02"/>
    <x v="1"/>
    <x v="0"/>
  </r>
  <r>
    <s v="PLATAFORMAS ELEVADORAS MOVILES DE PERSONAS"/>
    <n v="2"/>
    <d v="2024-02-14T00:00:00"/>
    <x v="7"/>
    <s v="ESTUDIO"/>
    <n v="16"/>
    <s v="SSO"/>
    <s v="SSO MA DAND/4 Guia ECF- Formularios autoev/ECF N° 02"/>
    <x v="1"/>
    <x v="0"/>
  </r>
  <r>
    <s v="SISTEMA PERSONAL DE DETENCIÓN DE CAÍDAS (SPDC)"/>
    <n v="3"/>
    <d v="2024-02-14T00:00:00"/>
    <x v="7"/>
    <s v="ESTUDIO"/>
    <n v="17"/>
    <s v="SSO"/>
    <s v="SSO MA DAND/4 Guia ECF- Formularios autoev/ECF N° 02"/>
    <x v="1"/>
    <x v="0"/>
  </r>
  <r>
    <s v="-"/>
    <s v="-"/>
    <d v="2024-02-14T00:00:00"/>
    <x v="20"/>
    <s v="DAÑADO"/>
    <s v="-"/>
    <s v="-"/>
    <s v="SSO MA DAND/4 Guia ECF- Formularios autoev/ECF N° 02/Criterio"/>
    <x v="1"/>
    <x v="0"/>
  </r>
  <r>
    <s v="-"/>
    <s v="-"/>
    <d v="2024-02-14T00:00:00"/>
    <x v="20"/>
    <s v="DAÑADO"/>
    <s v="-"/>
    <s v="-"/>
    <s v="SSO MA DAND/4 Guia ECF- Formularios autoev/ECF N° 02/Criterio"/>
    <x v="1"/>
    <x v="0"/>
  </r>
  <r>
    <s v="-"/>
    <s v="-"/>
    <d v="2024-02-14T00:00:00"/>
    <x v="20"/>
    <s v="DAÑADO"/>
    <s v="-"/>
    <s v="-"/>
    <s v="SSO MA DAND/4 Guia ECF- Formularios autoev/ECF N° 03"/>
    <x v="1"/>
    <x v="0"/>
  </r>
  <r>
    <s v="ESTANDAR DE CONTROL DE FATALIDADES ECF 3 - MAQUINARIA INDUSTRIAL AUTOMOTRIZ"/>
    <n v="4"/>
    <d v="2024-02-14T00:00:00"/>
    <x v="22"/>
    <s v="ESTUDIO"/>
    <n v="28"/>
    <s v="SSO"/>
    <s v="SSO MA DAND/4 Guia ECF- Formularios autoev/ECF N° 03"/>
    <x v="1"/>
    <x v="0"/>
  </r>
  <r>
    <s v="ESTANDAR DE CONTROL DE FATALIDADES ECF 3 MAQUINARIA INDUSTRIAL AUTOMOTRIZ"/>
    <n v="3"/>
    <d v="2024-02-14T00:00:00"/>
    <x v="2"/>
    <s v="ESTUDIO"/>
    <s v="-"/>
    <s v="SSO"/>
    <s v="SSO MA DAND/4 Guia ECF- Formularios autoev/ECF N° 03"/>
    <x v="1"/>
    <x v="0"/>
  </r>
  <r>
    <s v="ESTANDAR DE CONTROL DE FATALIDADES ECF 4 - VEHICULOS LIVIANOS"/>
    <n v="2"/>
    <d v="2024-02-14T00:00:00"/>
    <x v="22"/>
    <s v="ESTUDIO"/>
    <n v="15"/>
    <s v="SSO"/>
    <s v="SSO MA DAND/4 Guia ECF- Formularios autoev/ECF N° 04"/>
    <x v="1"/>
    <x v="0"/>
  </r>
  <r>
    <s v="ESTANDAR DE CONTROL DE FATALIDADES ECF 4  VEHICULOS LIVIANOS"/>
    <n v="3"/>
    <d v="2024-02-14T00:00:00"/>
    <x v="2"/>
    <s v="ESTUDIO"/>
    <s v="-"/>
    <s v="SSO"/>
    <s v="SSO MA DAND/4 Guia ECF- Formularios autoev/ECF N° 04"/>
    <x v="1"/>
    <x v="0"/>
  </r>
  <r>
    <s v="ESTANDAR DE CONTROL DE FATALIDADES ECF 4  VEHICULOS LIVIANOS"/>
    <n v="3"/>
    <d v="2024-02-14T00:00:00"/>
    <x v="2"/>
    <s v="ESTUDIO"/>
    <s v="-"/>
    <s v="SSO"/>
    <s v="SSO MA DAND/4 Guia ECF- Formularios autoev/ECF N° 04"/>
    <x v="1"/>
    <x v="0"/>
  </r>
  <r>
    <s v="-"/>
    <s v="-"/>
    <d v="2024-02-14T00:00:00"/>
    <x v="20"/>
    <s v="DAÑADO"/>
    <s v="-"/>
    <s v="-"/>
    <s v="SSO MA DAND/4 Guia ECF- Formularios autoev/ECF N° 04"/>
    <x v="1"/>
    <x v="0"/>
  </r>
  <r>
    <s v="ANEXOS ECF N°5"/>
    <s v="-"/>
    <d v="2024-02-14T00:00:00"/>
    <x v="2"/>
    <s v="ESTUDIO"/>
    <s v="-"/>
    <s v="SSO"/>
    <s v="SSO MA DAND/4 Guia ECF- Formularios autoev/ECF N° 05"/>
    <x v="1"/>
    <x v="0"/>
  </r>
  <r>
    <s v="-"/>
    <s v="-"/>
    <d v="2024-02-14T00:00:00"/>
    <x v="20"/>
    <s v="DAÑADO"/>
    <s v="-"/>
    <s v="-"/>
    <s v="SSO MA DAND/4 Guia ECF- Formularios autoev/ECF N° 05"/>
    <x v="1"/>
    <x v="0"/>
  </r>
  <r>
    <s v="APLICACIÓN REQUISITOS ECF N°7 “IZAJE MECANICO DE CARGAS”"/>
    <n v="3"/>
    <d v="2024-02-14T00:00:00"/>
    <x v="7"/>
    <s v="ESTUDIO"/>
    <n v="26"/>
    <s v="SSO"/>
    <s v="SSO MA DAND/4 Guia ECF- Formularios autoev/ECF N° 07"/>
    <x v="1"/>
    <x v="0"/>
  </r>
  <r>
    <s v="ESTÁNDAR CONTROL DE FATALIDADES ECF 7 - IZAJE MECÁNICO DE CARGAS"/>
    <n v="1"/>
    <d v="2024-02-14T00:00:00"/>
    <x v="22"/>
    <s v="ESTUDIO"/>
    <n v="13"/>
    <s v="SSO"/>
    <s v="SSO MA DAND/4 Guia ECF- Formularios autoev/ECF N° 07"/>
    <x v="1"/>
    <x v="0"/>
  </r>
  <r>
    <s v="-"/>
    <s v="-"/>
    <d v="2024-02-14T00:00:00"/>
    <x v="20"/>
    <s v="DAÑADO"/>
    <s v="-"/>
    <s v="-"/>
    <s v="SSO MA DAND/4 Guia ECF- Formularios autoev/ECF N° 07"/>
    <x v="1"/>
    <x v="0"/>
  </r>
  <r>
    <s v="LISTADO DE VERIFICACION DE PRE USO DE EQUIPOS DE IZAJE"/>
    <n v="1"/>
    <d v="2024-02-14T00:00:00"/>
    <x v="2"/>
    <s v="ESTUDIO"/>
    <s v="-"/>
    <s v="SSO"/>
    <s v="SSO MA DAND/4 Guia ECF- Formularios autoev/ECF N° 07"/>
    <x v="1"/>
    <x v="0"/>
  </r>
  <r>
    <s v="PLAN DE MANIOBRAS DE IZAJE"/>
    <n v="1"/>
    <d v="2024-02-14T00:00:00"/>
    <x v="2"/>
    <s v="ESTUDIO"/>
    <s v="-"/>
    <s v="SSO"/>
    <s v="SSO MA DAND/4 Guia ECF- Formularios autoev/ECF N° 07"/>
    <x v="1"/>
    <x v="0"/>
  </r>
  <r>
    <s v="-"/>
    <s v="-"/>
    <d v="2024-02-14T00:00:00"/>
    <x v="20"/>
    <s v="DAÑADO"/>
    <s v="-"/>
    <s v="-"/>
    <s v="SSO MA DAND/4 Guia ECF- Formularios autoev/ECF N° 08"/>
    <x v="1"/>
    <x v="0"/>
  </r>
  <r>
    <s v="-"/>
    <s v="-"/>
    <d v="2024-02-14T00:00:00"/>
    <x v="20"/>
    <s v="DAÑADO"/>
    <s v="-"/>
    <s v="-"/>
    <s v="SSO MA DAND/4 Guia ECF- Formularios autoev/ECF N° 09"/>
    <x v="1"/>
    <x v="0"/>
  </r>
  <r>
    <s v="CHECK LIST PARA BODEGA DE CILINDROS"/>
    <s v="-"/>
    <d v="2024-02-14T00:00:00"/>
    <x v="2"/>
    <s v="ESTUDIO"/>
    <s v="-"/>
    <s v="SSO"/>
    <s v="SSO MA DAND/4 Guia ECF- Formularios autoev/ECF N° 09"/>
    <x v="1"/>
    <x v="0"/>
  </r>
  <r>
    <s v="CHECK LIST PARA BODEGA DE SUSTANCIAS INFLAMABLES"/>
    <s v="-"/>
    <d v="2024-02-14T00:00:00"/>
    <x v="2"/>
    <s v="ESTUDIO"/>
    <s v="-"/>
    <s v="SSO"/>
    <s v="SSO MA DAND/4 Guia ECF- Formularios autoev/ECF N° 09"/>
    <x v="1"/>
    <x v="0"/>
  </r>
  <r>
    <s v="CHECK LIST PARA BODEGA GENERAL DE SUSTANCIAS QUIMICAS"/>
    <s v="-"/>
    <d v="2024-02-14T00:00:00"/>
    <x v="2"/>
    <s v="ESTUDIO"/>
    <s v="-"/>
    <s v="SSO"/>
    <s v="SSO MA DAND/4 Guia ECF- Formularios autoev/ECF N° 09"/>
    <x v="1"/>
    <x v="0"/>
  </r>
  <r>
    <s v="CHECK LIST PARA ESTANTERIAS DE SUSTANCIAS QUIMICAS"/>
    <s v="-"/>
    <d v="2024-02-14T00:00:00"/>
    <x v="2"/>
    <s v="ESTUDIO"/>
    <s v="-"/>
    <s v="SSO"/>
    <s v="SSO MA DAND/4 Guia ECF- Formularios autoev/ECF N° 09"/>
    <x v="1"/>
    <x v="0"/>
  </r>
  <r>
    <s v="CHECK LIST PARA JAULA DE CILINDROS"/>
    <s v="-"/>
    <d v="2024-02-14T00:00:00"/>
    <x v="2"/>
    <s v="ESTUDIO"/>
    <s v="-"/>
    <s v="SSO"/>
    <s v="SSO MA DAND/4 Guia ECF- Formularios autoev/ECF N° 09"/>
    <x v="1"/>
    <x v="0"/>
  </r>
  <r>
    <s v="CHECK LIST PARA JAULA DE SUSTANCIAS INFLAMABLES"/>
    <s v="-"/>
    <d v="2024-02-14T00:00:00"/>
    <x v="2"/>
    <s v="ESTUDIO"/>
    <s v="-"/>
    <s v="SSO"/>
    <s v="SSO MA DAND/4 Guia ECF- Formularios autoev/ECF N° 09"/>
    <x v="1"/>
    <x v="0"/>
  </r>
  <r>
    <s v="CHECK LIST PARA JAULA GENERAL DE SUSTANCIAS PELIGROSAS"/>
    <s v="-"/>
    <d v="2024-02-14T00:00:00"/>
    <x v="2"/>
    <s v="ESTUDIO"/>
    <s v="-"/>
    <s v="SSO"/>
    <s v="SSO MA DAND/4 Guia ECF- Formularios autoev/ECF N° 09"/>
    <x v="1"/>
    <x v="0"/>
  </r>
  <r>
    <s v="ESTANDAR BODEGAS DE ALMACENAMIENTO DE SUSTANCIAS QUIMICAS"/>
    <n v="0"/>
    <d v="2024-02-14T00:00:00"/>
    <x v="7"/>
    <s v="ESTUDIO"/>
    <n v="24"/>
    <s v="SSO"/>
    <s v="SSO MA DAND/4 Guia ECF- Formularios autoev/ECF N° 09"/>
    <x v="1"/>
    <x v="0"/>
  </r>
  <r>
    <s v="-"/>
    <s v="-"/>
    <d v="2024-02-14T00:00:00"/>
    <x v="20"/>
    <s v="DAÑADO"/>
    <s v="-"/>
    <s v="-"/>
    <s v="SSO MA DAND/4 Guia ECF- Formularios autoev/ECF N° 09"/>
    <x v="1"/>
    <x v="0"/>
  </r>
  <r>
    <s v="-"/>
    <s v="-"/>
    <d v="2024-02-14T00:00:00"/>
    <x v="20"/>
    <s v="DAÑADO"/>
    <s v="-"/>
    <s v="-"/>
    <s v="SSO MA DAND/4 Guia ECF- Formularios autoev/ECF N° 09"/>
    <x v="1"/>
    <x v="0"/>
  </r>
  <r>
    <s v="REGISTRO DE CAPACITACIONES EN SUSTANCIAS QUIMICAS"/>
    <s v="-"/>
    <d v="2024-02-14T00:00:00"/>
    <x v="2"/>
    <s v="ESTUDIO"/>
    <s v="-"/>
    <s v="SSO"/>
    <s v="SSO MA DAND/4 Guia ECF- Formularios autoev/ECF N° 09"/>
    <x v="1"/>
    <x v="0"/>
  </r>
  <r>
    <s v="REGISTRO DE INGRESO DE SUSTANCIAS QUIMICAS A DAND"/>
    <s v="-"/>
    <d v="2024-02-14T00:00:00"/>
    <x v="2"/>
    <s v="ESTUDIO"/>
    <s v="-"/>
    <s v="SSO"/>
    <s v="SSO MA DAND/4 Guia ECF- Formularios autoev/ECF N° 09"/>
    <x v="1"/>
    <x v="0"/>
  </r>
  <r>
    <s v="REGLAMENTO SUSTANCIAS QUIMICAS"/>
    <n v="1"/>
    <d v="2024-02-14T00:00:00"/>
    <x v="19"/>
    <s v="ESTUDIO"/>
    <n v="35"/>
    <s v="SSO"/>
    <s v="SSO MA DAND/4 Guia ECF- Formularios autoev/ECF N° 09"/>
    <x v="1"/>
    <x v="0"/>
  </r>
  <r>
    <s v="-"/>
    <s v="-"/>
    <d v="2024-02-14T00:00:00"/>
    <x v="20"/>
    <s v="DAÑADO"/>
    <s v="-"/>
    <s v="-"/>
    <s v="SSO MA DAND/4 Guia ECF- Formularios autoev/ECF N° 09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09/Registro"/>
    <x v="1"/>
    <x v="0"/>
  </r>
  <r>
    <s v="-"/>
    <m/>
    <d v="2024-02-14T00:00:00"/>
    <x v="20"/>
    <s v="DAÑADO"/>
    <s v="-"/>
    <s v="-"/>
    <s v="SSO MA DAND/4 Guia ECF- Formularios autoev/ECF N° 10"/>
    <x v="1"/>
    <x v="0"/>
  </r>
  <r>
    <s v="ESTANDAR CONTROL DE FATALIDADES N° 11 CONTROL DEL TERRENO"/>
    <n v="0"/>
    <d v="2024-02-14T00:00:00"/>
    <x v="22"/>
    <s v="ESTUDIO"/>
    <n v="15"/>
    <s v="SSO"/>
    <s v="SSO MA DAND/4 Guia ECF- Formularios autoev/ECF N° 11"/>
    <x v="1"/>
    <x v="0"/>
  </r>
  <r>
    <s v="INSTRUCTIVO - SIGO CODELCO PLANIFICACION Y EJECUCION DE SIMULACROS"/>
    <n v="1"/>
    <d v="2024-02-14T00:00:00"/>
    <x v="4"/>
    <s v="ESTUDIO"/>
    <n v="20"/>
    <s v="SSO"/>
    <s v="SSO MA DAND/4 Guia ECF- Formularios autoev/ECF N° 12"/>
    <x v="1"/>
    <x v="0"/>
  </r>
  <r>
    <s v="-"/>
    <m/>
    <d v="2024-02-14T00:00:00"/>
    <x v="20"/>
    <s v="DAÑADO"/>
    <s v="-"/>
    <s v="-"/>
    <s v="SSO MA DAND/4 Guia ECF- Formularios autoev/ECF N° 12"/>
    <x v="1"/>
    <x v="0"/>
  </r>
  <r>
    <s v="CARGA DE COMBUSTIBLES - CODELCO DIVISION ANDINA"/>
    <s v="-"/>
    <d v="2024-02-14T00:00:00"/>
    <x v="18"/>
    <s v="ESTUDIO"/>
    <n v="11"/>
    <s v="SSO"/>
    <s v="SSO MA DAND/4 Guia ECF- Formularios autoev/ECF N° 12/Calculo"/>
    <x v="1"/>
    <x v="0"/>
  </r>
  <r>
    <s v="CARGA DE COMBUSTIBLES - CODELCO DIVISION ANDINA (CO)"/>
    <s v="-"/>
    <d v="2024-02-14T00:00:00"/>
    <x v="18"/>
    <s v="ESTUDIO"/>
    <n v="18"/>
    <s v="SSO"/>
    <s v="SSO MA DAND/4 Guia ECF- Formularios autoev/ECF N° 12/Calculo"/>
    <x v="1"/>
    <x v="0"/>
  </r>
  <r>
    <s v="CARGA DE COMBUSTIBLES - CODELCO DIVISION ANDINA (MRA)"/>
    <s v="-"/>
    <d v="2024-02-14T00:00:00"/>
    <x v="18"/>
    <s v="ESTUDIO"/>
    <n v="19"/>
    <s v="SSO"/>
    <s v="SSO MA DAND/4 Guia ECF- Formularios autoev/ECF N° 12/Calculo"/>
    <x v="1"/>
    <x v="0"/>
  </r>
  <r>
    <s v="CARGA DE COMBUSTIBLES - CODELCO DIVISION ANDINA (MS)"/>
    <s v="-"/>
    <d v="2024-02-14T00:00:00"/>
    <x v="18"/>
    <s v="ESTUDIO"/>
    <n v="26"/>
    <s v="SSO"/>
    <s v="SSO MA DAND/4 Guia ECF- Formularios autoev/ECF N° 12/Calculo"/>
    <x v="1"/>
    <x v="0"/>
  </r>
  <r>
    <s v="CARGA DE COMBUSTIBLES - CODELCO DIVISION ANDINA (CO IIS)"/>
    <s v="-"/>
    <d v="2024-02-14T00:00:00"/>
    <x v="18"/>
    <s v="ESTUDIO"/>
    <n v="15"/>
    <s v="SSO"/>
    <s v="SSO MA DAND/4 Guia ECF- Formularios autoev/ECF N° 12/Calculo"/>
    <x v="1"/>
    <x v="0"/>
  </r>
  <r>
    <s v="-"/>
    <m/>
    <d v="2024-02-14T00:00:00"/>
    <x v="20"/>
    <s v="DAÑADO"/>
    <s v="-"/>
    <s v="-"/>
    <s v="SSO MA DAND/4 Guia ECF- Formularios autoev/ECF N° 12/Calculo"/>
    <x v="1"/>
    <x v="0"/>
  </r>
  <r>
    <s v="CARGA DE COMBUSTIBLES - CODELCO DIVISION ANDINA (MS)"/>
    <s v="-"/>
    <d v="2024-02-14T00:00:00"/>
    <x v="18"/>
    <s v="ESTUDIO"/>
    <n v="26"/>
    <s v="SSO"/>
    <s v="SSO MA DAND/4 Guia ECF- Formularios autoev/ECF N° 12/Calculo"/>
    <x v="1"/>
    <x v="0"/>
  </r>
  <r>
    <s v="-"/>
    <m/>
    <d v="2024-02-14T00:00:00"/>
    <x v="20"/>
    <s v="DAÑADO"/>
    <s v="-"/>
    <s v="-"/>
    <s v="SSO MA DAND/4 Guia ECF- Formularios autoev/ECF N° 12/Calculo"/>
    <x v="1"/>
    <x v="0"/>
  </r>
  <r>
    <s v="MAPARIESGOS DE INCENDIO NIVEL 16 1/2"/>
    <s v="-"/>
    <d v="2024-02-14T00:00:00"/>
    <x v="23"/>
    <s v="ESTUDIO"/>
    <n v="1"/>
    <s v="SSO"/>
    <s v="SSO MA DAND/4 Guia ECF- Formularios autoev/ECF N° 12/Mapa"/>
    <x v="1"/>
    <x v="0"/>
  </r>
  <r>
    <s v="MAPARIESGOS DE INCENDIO MIAN RAJO"/>
    <s v="-"/>
    <d v="2024-02-14T00:00:00"/>
    <x v="23"/>
    <s v="ESTUDIO"/>
    <n v="1"/>
    <s v="SSO"/>
    <s v="SSO MA DAND/4 Guia ECF- Formularios autoev/ECF N° 12/Mapa"/>
    <x v="1"/>
    <x v="0"/>
  </r>
  <r>
    <s v="MAPARIESGOS DE INCENDIO NIVEL 16"/>
    <s v="-"/>
    <d v="2024-02-14T00:00:00"/>
    <x v="23"/>
    <s v="ESTUDIO"/>
    <n v="1"/>
    <s v="SSO"/>
    <s v="SSO MA DAND/4 Guia ECF- Formularios autoev/ECF N° 12/Mapa"/>
    <x v="1"/>
    <x v="0"/>
  </r>
  <r>
    <s v="MAPARIESGOS DE INCENDIO SUPERINTENDENCIA PLANTA MOLIBDENO Y FILTRADO DE COBRE (SPMFC)"/>
    <s v="-"/>
    <d v="2024-02-14T00:00:00"/>
    <x v="23"/>
    <s v="ESTUDIO"/>
    <n v="1"/>
    <s v="SSO"/>
    <s v="SSO MA DAND/4 Guia ECF- Formularios autoev/ECF N° 12/Mapa"/>
    <x v="1"/>
    <x v="0"/>
  </r>
  <r>
    <s v="MAPARIESGOS DE INCENDIO NIVEL 8"/>
    <s v="-"/>
    <d v="2024-02-14T00:00:00"/>
    <x v="23"/>
    <s v="ESTUDIO"/>
    <n v="1"/>
    <s v="SSO"/>
    <s v="SSO MA DAND/4 Guia ECF- Formularios autoev/ECF N° 12/Mapa"/>
    <x v="1"/>
    <x v="0"/>
  </r>
  <r>
    <s v="MAPARIESGOS DE INCENDIO CONCENTRADOR"/>
    <s v="-"/>
    <d v="2024-02-14T00:00:00"/>
    <x v="23"/>
    <s v="ESTUDIO"/>
    <n v="1"/>
    <s v="SSO"/>
    <s v="SSO MA DAND/4 Guia ECF- Formularios autoev/ECF N° 12/Mapa"/>
    <x v="1"/>
    <x v="0"/>
  </r>
  <r>
    <s v="MAPARIESGOS DE INCENDIO NIVEL 17"/>
    <s v="-"/>
    <d v="2024-02-14T00:00:00"/>
    <x v="23"/>
    <s v="ESTUDIO"/>
    <n v="1"/>
    <s v="SSO"/>
    <s v="SSO MA DAND/4 Guia ECF- Formularios autoev/ECF N° 12/Mapa"/>
    <x v="1"/>
    <x v="0"/>
  </r>
  <r>
    <s v="-"/>
    <m/>
    <d v="2024-02-14T00:00:00"/>
    <x v="20"/>
    <s v="DAÑADO"/>
    <s v="-"/>
    <s v="-"/>
    <s v="SSO MA DAND/4 Guia ECF- Formularios autoev/ECF N° 14"/>
    <x v="1"/>
    <x v="0"/>
  </r>
  <r>
    <s v="PROTOCOLO DE AUTORIZACION DE VUELO"/>
    <n v="1"/>
    <d v="2024-02-14T00:00:00"/>
    <x v="2"/>
    <s v="ESTUDIO"/>
    <s v="-"/>
    <s v="SSO"/>
    <s v="SSO MA DAND/4 Guia ECF- Formularios autoev/ECF N° 14"/>
    <x v="1"/>
    <x v="0"/>
  </r>
  <r>
    <s v="APLICACIÓN REQUISITOS ECF Nº 15 BOMBEO EN MINA SUBTERRANEA"/>
    <n v="3"/>
    <d v="2024-02-14T00:00:00"/>
    <x v="7"/>
    <s v="ESTUDIO"/>
    <n v="17"/>
    <s v="SSO"/>
    <s v="SSO MA DAND/4 Guia ECF- Formularios autoev/ECF N° 15"/>
    <x v="1"/>
    <x v="0"/>
  </r>
  <r>
    <s v="LISTADO DE VERIFICACION ESTANDAR DE CONTROL DE FATALIDAD Nº 18                   "/>
    <s v="-"/>
    <d v="2024-02-14T00:00:00"/>
    <x v="2"/>
    <s v="ESTUDIO"/>
    <s v="-"/>
    <s v="SSO"/>
    <s v="SSO MA DAND/4 Guia ECF- Formularios autoev/ECF N° 18"/>
    <x v="1"/>
    <x v="0"/>
  </r>
  <r>
    <s v="-"/>
    <m/>
    <d v="2024-02-14T00:00:00"/>
    <x v="20"/>
    <s v="DAÑADO"/>
    <s v="-"/>
    <s v="-"/>
    <s v="SSO MA DAND/4 Guia ECF- Formularios autoev/ECF N° 20"/>
    <x v="1"/>
    <x v="0"/>
  </r>
  <r>
    <s v="ACTUALIZACION ECF 21 - VEHICULOS DE TRANSPORTE DE PERSONAS Y CARGA"/>
    <n v="2"/>
    <d v="2024-02-14T00:00:00"/>
    <x v="18"/>
    <s v="ESTUDIO"/>
    <n v="22"/>
    <s v="SSO"/>
    <s v="SSO MA DAND/4 Guia ECF- Formularios autoev/ECF N° 21"/>
    <x v="1"/>
    <x v="0"/>
  </r>
  <r>
    <s v="ESTANDAR DE CONTROL DE FATALIDADES ECF 21 - VEHICULOS DE TRANSPORTE DE PERSONAS Y CARGA"/>
    <n v="2"/>
    <d v="2024-02-14T00:00:00"/>
    <x v="22"/>
    <s v="ESTUDIO"/>
    <s v="-"/>
    <s v="SSO"/>
    <s v="SSO MA DAND/4 Guia ECF- Formularios autoev/ECF N° 21"/>
    <x v="1"/>
    <x v="0"/>
  </r>
  <r>
    <s v="-"/>
    <m/>
    <d v="2024-02-14T00:00:00"/>
    <x v="20"/>
    <s v="DAÑADO"/>
    <s v="-"/>
    <s v="-"/>
    <s v="SSO MA DAND/4 Guia ECF- Formularios autoev/ECF N° 21"/>
    <x v="1"/>
    <x v="0"/>
  </r>
  <r>
    <s v="ESTANDAR DE CONTROL DE FATALIDADES ECF 21 VEHICULOS DE TRANSPORTE DE PERSONAS Y CARGA"/>
    <n v="4"/>
    <d v="2024-02-14T00:00:00"/>
    <x v="2"/>
    <s v="ESTUDIO"/>
    <s v="-"/>
    <s v="SSO"/>
    <s v="SSO MA DAND/4 Guia ECF- Formularios autoev/ECF N° 21"/>
    <x v="1"/>
    <x v="0"/>
  </r>
  <r>
    <s v="ECF 22 - INSTALACION INDUSTRIALES Y SUS ESTRUCTURAS"/>
    <s v="-"/>
    <d v="2024-02-14T00:00:00"/>
    <x v="22"/>
    <s v="ESTUDIO"/>
    <n v="9"/>
    <s v="SSO"/>
    <s v="SSO MA DAND/4 Guia ECF- Formularios autoev/ECF N° 22"/>
    <x v="1"/>
    <x v="0"/>
  </r>
  <r>
    <s v="-"/>
    <m/>
    <d v="2024-02-14T00:00:00"/>
    <x v="20"/>
    <s v="DAÑADO"/>
    <s v="-"/>
    <s v="-"/>
    <s v="SSO MA DAND/4 Guia ECF- Formularios autoev/ECF N° 22"/>
    <x v="1"/>
    <x v="0"/>
  </r>
  <r>
    <s v="GUIA TECNICA ESTRUCTURAS DE PISOS INDUSTRIALES"/>
    <s v="-"/>
    <d v="2024-02-14T00:00:00"/>
    <x v="21"/>
    <s v="ESTUDIO"/>
    <n v="32"/>
    <s v="SSO"/>
    <s v="SSO MA DAND/4 Guia ECF- Formularios autoev/ECF N° 22"/>
    <x v="1"/>
    <x v="0"/>
  </r>
  <r>
    <s v="ESTANDAR DE CONTROL DE FATALIDADES VIALES (ECF-3, ECF-4, ECF-21) ARTICULOS TRANSITORIOS"/>
    <n v="1"/>
    <d v="2024-02-14T00:00:00"/>
    <x v="22"/>
    <s v="ESTUDIO"/>
    <n v="7"/>
    <s v="SSO"/>
    <s v="SSO MA DAND/4 Guia ECF- Formularios autoev/ECF Transitorios"/>
    <x v="1"/>
    <x v="0"/>
  </r>
  <r>
    <s v="LISTA DE VERIFICACION ESTANDARES DE CONTROL DE FATALIDADES - ECF-1 - AISLACION Y BLOQUEO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2 - TRABAJO EN ALTURA FISICA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3 - MAQUINARIA INDUSTRIAL AUTOMOTRIZ"/>
    <n v="5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4 - VEHICULOS LIVIANO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5 - HERRAMIENTAS Y EQUIPOS PORTATILES Y MANUALE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6 - MATERIALES FUNDIDO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7 - IZAJE MECANICO DE CARGA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8 - GUARDAS Y PROTECCIONES DE EQUIPO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9 - MANEJO DE SUSTANCIAS PELIGROSA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10 - EXPLOSIVOS Y TRONADURA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11 - CONTROL DE TERRENO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12 - INCENDIO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13 - OPERACIONES FERRIOVIARIA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14 - VUELO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15 - BOMBEO DE AGUA BARRO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16 - ESTALLIDO DE ROCA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17 - CONTROL DE OXIGENO Y GASES MINERIA SUBTERRANEA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18 - AVALANCHA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19 - OPERACIONES PORTUARIA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20 - PUNTOS DE VACIADO Y CHIMENEAS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21 - VEHICULOS DE TRANSPORTE DE PERSONAS Y CARGA"/>
    <n v="3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22 - INSTALACIONES INDUSTRIALES Y SUS ESTRUCTURAS"/>
    <n v="0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22 - GUIA TECNICA PISOS INDUSTRIALES"/>
    <n v="0"/>
    <d v="2024-02-14T00:00:00"/>
    <x v="2"/>
    <s v="ESTUDIO"/>
    <s v="-"/>
    <s v="SSO"/>
    <s v="SSO MA DAND/4 Guia ECF- Formularios autoev/SIGO-LV-ECF"/>
    <x v="1"/>
    <x v="0"/>
  </r>
  <r>
    <s v="LISTA DE VERIFICACION ESTANDARES DE CONTROL DE FATALIDADES - ECF-22 - GUIA TECNICA BARANDAS Y ESCALERAS"/>
    <n v="0"/>
    <d v="2024-02-14T00:00:00"/>
    <x v="2"/>
    <s v="ESTUDIO"/>
    <s v="-"/>
    <s v="SSO"/>
    <s v="SSO MA DAND/4 Guia ECF- Formularios autoev/SIGO-LV-ECF"/>
    <x v="1"/>
    <x v="0"/>
  </r>
  <r>
    <s v="GUIA DE LOS ESTANDARES DE SALUD EN EL TRABAJO (2013)"/>
    <s v="-"/>
    <d v="2024-02-14T00:00:00"/>
    <x v="21"/>
    <s v="ESTUDIO"/>
    <n v="83"/>
    <s v="SSO"/>
    <s v="SSO MA DAND/5 Guias EST+Formularios"/>
    <x v="1"/>
    <x v="0"/>
  </r>
  <r>
    <s v="INSTRUCTIVO – SIGO CODELCO GUIA PARA LA ELABORACION E IMPLEMENTACION DE PROGRAMAS DE PROTECCION RESPIRATORIA"/>
    <n v="2"/>
    <d v="2024-02-14T00:00:00"/>
    <x v="4"/>
    <s v="ESTUDIO"/>
    <n v="31"/>
    <s v="SSO"/>
    <s v="SSO MA DAND/5 Guias EST+Formularios"/>
    <x v="1"/>
    <x v="0"/>
  </r>
  <r>
    <s v="-"/>
    <m/>
    <d v="2024-02-14T00:00:00"/>
    <x v="20"/>
    <s v="DAÑADO"/>
    <s v="-"/>
    <s v="-"/>
    <s v="SSO MA DAND/5 Guias EST+Formularios/00"/>
    <x v="1"/>
    <x v="0"/>
  </r>
  <r>
    <s v="-"/>
    <m/>
    <d v="2024-02-14T00:00:00"/>
    <x v="20"/>
    <s v="DAÑADO"/>
    <s v="-"/>
    <s v="-"/>
    <s v="SSO MA DAND/5 Guias EST+Formularios/00"/>
    <x v="1"/>
    <x v="0"/>
  </r>
  <r>
    <s v="PROCEDIMIENTO ESTRUCTURAL – SIGO CODELCO HIGIENE OCUPACIONAL"/>
    <n v="2"/>
    <d v="2024-02-14T00:00:00"/>
    <x v="7"/>
    <s v="ESTUDIO"/>
    <n v="39"/>
    <s v="SSO"/>
    <s v="SSO MA DAND/5 Guias EST+Formularios/01"/>
    <x v="1"/>
    <x v="0"/>
  </r>
  <r>
    <s v="-"/>
    <m/>
    <d v="2024-02-14T00:00:00"/>
    <x v="20"/>
    <s v="DAÑADO"/>
    <s v="-"/>
    <s v="-"/>
    <s v="SSO MA DAND/5 Guias EST+Formularios/EST N°1"/>
    <x v="1"/>
    <x v="0"/>
  </r>
  <r>
    <s v="-"/>
    <m/>
    <d v="2024-02-14T00:00:00"/>
    <x v="20"/>
    <s v="DAÑADO"/>
    <s v="-"/>
    <s v="-"/>
    <s v="SSO MA DAND/5 Guias EST+Formularios/EST N°2"/>
    <x v="1"/>
    <x v="0"/>
  </r>
  <r>
    <s v="PROCEDIMIENTO ESTRUCTURAL – SIGO CODELCO HIGIENE OCUPACIONAL"/>
    <n v="2"/>
    <d v="2024-02-14T00:00:00"/>
    <x v="7"/>
    <s v="ESTUDIO"/>
    <n v="39"/>
    <s v="SSO"/>
    <s v="SSO MA DAND/5 Guias EST+Formularios/EST N°3"/>
    <x v="1"/>
    <x v="0"/>
  </r>
  <r>
    <s v="-"/>
    <m/>
    <d v="2024-02-14T00:00:00"/>
    <x v="20"/>
    <s v="DAÑADO"/>
    <s v="-"/>
    <s v="-"/>
    <s v="SSO MA DAND/5 Guias EST+Formularios/EST N°3/Doc Externa N°3"/>
    <x v="1"/>
    <x v="0"/>
  </r>
  <r>
    <s v="-"/>
    <m/>
    <d v="2024-02-14T00:00:00"/>
    <x v="20"/>
    <s v="DAÑADO"/>
    <s v="-"/>
    <s v="-"/>
    <s v="SSO MA DAND/5 Guias EST+Formularios/EST N°3/Doc Externa N°3"/>
    <x v="1"/>
    <x v="0"/>
  </r>
  <r>
    <s v="-"/>
    <m/>
    <d v="2024-02-14T00:00:00"/>
    <x v="20"/>
    <s v="DAÑADO"/>
    <s v="-"/>
    <s v="-"/>
    <s v="SSO MA DAND/5 Guias EST+Formularios/EST N°3/Doc Externa N°3"/>
    <x v="1"/>
    <x v="0"/>
  </r>
  <r>
    <s v="-"/>
    <m/>
    <d v="2024-02-14T00:00:00"/>
    <x v="20"/>
    <s v="DAÑADO"/>
    <s v="-"/>
    <s v="-"/>
    <s v="SSO MA DAND/5 Guias EST+Formularios/EST N°3/Doc Externa N°3"/>
    <x v="1"/>
    <x v="0"/>
  </r>
  <r>
    <s v="-"/>
    <m/>
    <d v="2024-02-14T00:00:00"/>
    <x v="20"/>
    <s v="DAÑADO"/>
    <s v="-"/>
    <s v="-"/>
    <s v="SSO MA DAND/5 Guias EST+Formularios/EST N°3/Doc Externa N°3"/>
    <x v="1"/>
    <x v="0"/>
  </r>
  <r>
    <s v="ESTÁNDAR DE SALUD EN EL TRABAJO EST N°4 - ERGONOMIA"/>
    <n v="1"/>
    <d v="2024-02-14T00:00:00"/>
    <x v="22"/>
    <s v="ESTUDIO"/>
    <n v="8"/>
    <s v="SSO"/>
    <s v="SSO MA DAND/5 Guias EST+Formularios/EST N°4"/>
    <x v="1"/>
    <x v="0"/>
  </r>
  <r>
    <s v="-"/>
    <m/>
    <d v="2024-02-14T00:00:00"/>
    <x v="20"/>
    <s v="DAÑADO"/>
    <s v="-"/>
    <s v="-"/>
    <s v="SSO MA DAND/5 Guias EST+Formularios/EST N°4/Doc Externa N°4"/>
    <x v="1"/>
    <x v="0"/>
  </r>
  <r>
    <s v="-"/>
    <m/>
    <d v="2024-02-14T00:00:00"/>
    <x v="20"/>
    <s v="DAÑADO"/>
    <s v="-"/>
    <s v="-"/>
    <s v="SSO MA DAND/5 Guias EST+Formularios/EST N°4/Doc Externa N°4"/>
    <x v="1"/>
    <x v="0"/>
  </r>
  <r>
    <s v="-"/>
    <m/>
    <d v="2024-02-14T00:00:00"/>
    <x v="20"/>
    <s v="DAÑADO"/>
    <s v="-"/>
    <s v="-"/>
    <s v="SSO MA DAND/5 Guias EST+Formularios/EST N°4/Doc Externa N°4"/>
    <x v="1"/>
    <x v="0"/>
  </r>
  <r>
    <s v="-"/>
    <m/>
    <d v="2024-02-14T00:00:00"/>
    <x v="20"/>
    <s v="DAÑADO"/>
    <s v="-"/>
    <s v="-"/>
    <s v="SSO MA DAND/5 Guias EST+Formularios/EST N°4/Doc Externa N°4"/>
    <x v="1"/>
    <x v="0"/>
  </r>
  <r>
    <s v="-"/>
    <m/>
    <d v="2024-02-14T00:00:00"/>
    <x v="20"/>
    <s v="DAÑADO"/>
    <s v="-"/>
    <s v="-"/>
    <s v="SSO MA DAND/5 Guias EST+Formularios/EST N°4/Doc Externa N°4"/>
    <x v="1"/>
    <x v="0"/>
  </r>
  <r>
    <s v="-"/>
    <m/>
    <d v="2024-02-14T00:00:00"/>
    <x v="20"/>
    <s v="DAÑADO"/>
    <s v="-"/>
    <s v="-"/>
    <s v="SSO MA DAND/5 Guias EST+Formularios/EST N°4/Doc Externa N°4"/>
    <x v="1"/>
    <x v="0"/>
  </r>
  <r>
    <s v="-"/>
    <m/>
    <d v="2024-02-14T00:00:00"/>
    <x v="20"/>
    <s v="DAÑADO"/>
    <s v="-"/>
    <s v="-"/>
    <s v="SSO MA DAND/5 Guias EST+Formularios/EST N°4/Doc Externa N°4"/>
    <x v="1"/>
    <x v="0"/>
  </r>
  <r>
    <s v="-"/>
    <m/>
    <d v="2024-02-14T00:00:00"/>
    <x v="20"/>
    <s v="DAÑADO"/>
    <s v="-"/>
    <s v="-"/>
    <s v="SSO MA DAND/5 Guias EST+Formularios/EST N°4/Doc Externa N°4"/>
    <x v="1"/>
    <x v="0"/>
  </r>
  <r>
    <s v="-"/>
    <m/>
    <d v="2024-02-14T00:00:00"/>
    <x v="20"/>
    <s v="DAÑADO"/>
    <s v="-"/>
    <s v="-"/>
    <s v="SSO MA DAND/5 Guias EST+Formularios/EST N°4/Doc Externa N°4"/>
    <x v="1"/>
    <x v="0"/>
  </r>
  <r>
    <s v="-"/>
    <m/>
    <d v="2024-02-14T00:00:00"/>
    <x v="20"/>
    <s v="DAÑADO"/>
    <s v="-"/>
    <s v="-"/>
    <s v="SSO MA DAND/5 Guias EST+Formularios/EST N°5"/>
    <x v="1"/>
    <x v="0"/>
  </r>
  <r>
    <s v="-"/>
    <m/>
    <d v="2024-02-14T00:00:00"/>
    <x v="20"/>
    <s v="DAÑADO"/>
    <s v="-"/>
    <s v="-"/>
    <s v="SSO MA DAND/5 Guias EST+Formularios/EST N°5/Doc Externa N°5"/>
    <x v="1"/>
    <x v="0"/>
  </r>
  <r>
    <s v="-"/>
    <m/>
    <d v="2024-02-14T00:00:00"/>
    <x v="20"/>
    <s v="DAÑADO"/>
    <s v="-"/>
    <s v="-"/>
    <s v="SSO MA DAND/5 Guias EST+Formularios/EST N°5/Doc Externa N°5"/>
    <x v="1"/>
    <x v="0"/>
  </r>
  <r>
    <s v="-"/>
    <m/>
    <d v="2024-02-14T00:00:00"/>
    <x v="20"/>
    <s v="DAÑADO"/>
    <s v="-"/>
    <s v="-"/>
    <s v="SSO MA DAND/5 Guias EST+Formularios/EST N°5/Doc Externa N°5"/>
    <x v="1"/>
    <x v="0"/>
  </r>
  <r>
    <s v="-"/>
    <m/>
    <d v="2024-02-14T00:00:00"/>
    <x v="20"/>
    <s v="DAÑADO"/>
    <s v="-"/>
    <s v="-"/>
    <s v="SSO MA DAND/5 Guias EST+Formularios/EST N°5/Doc Externa N°5"/>
    <x v="1"/>
    <x v="0"/>
  </r>
  <r>
    <s v="-"/>
    <m/>
    <d v="2024-02-14T00:00:00"/>
    <x v="20"/>
    <s v="DAÑADO"/>
    <s v="-"/>
    <s v="-"/>
    <s v="SSO MA DAND/5 Guias EST+Formularios/EST N°5/Doc Externa N°5"/>
    <x v="1"/>
    <x v="0"/>
  </r>
  <r>
    <s v="-"/>
    <m/>
    <d v="2024-02-14T00:00:00"/>
    <x v="20"/>
    <s v="DAÑADO"/>
    <s v="-"/>
    <s v="-"/>
    <s v="SSO MA DAND/5 Guias EST+Formularios/EST N°5/Doc Externa N°5"/>
    <x v="1"/>
    <x v="0"/>
  </r>
  <r>
    <s v="-"/>
    <m/>
    <d v="2024-02-14T00:00:00"/>
    <x v="20"/>
    <s v="DAÑADO"/>
    <s v="-"/>
    <s v="-"/>
    <s v="SSO MA DAND/5 Guias EST+Formularios/EST N°5/Doc Externa N°5"/>
    <x v="1"/>
    <x v="0"/>
  </r>
  <r>
    <s v="-"/>
    <m/>
    <d v="2024-02-14T00:00:00"/>
    <x v="20"/>
    <s v="DAÑADO"/>
    <s v="-"/>
    <s v="-"/>
    <s v="SSO MA DAND/5 Guias EST+Formularios/EST N°5/Doc Externa N°5"/>
    <x v="1"/>
    <x v="0"/>
  </r>
  <r>
    <s v="ESTÁNDAR DE SALUD EN EL TRABAJO EST N°6 - FATIGA Y SOMNOLENCIA"/>
    <n v="1"/>
    <d v="2024-02-14T00:00:00"/>
    <x v="22"/>
    <s v="ESTUDIO"/>
    <n v="3"/>
    <s v="SSO"/>
    <s v="SSO MA DAND/5 Guias EST+Formularios/EST N°6"/>
    <x v="1"/>
    <x v="0"/>
  </r>
  <r>
    <s v="-"/>
    <m/>
    <d v="2024-02-14T00:00:00"/>
    <x v="20"/>
    <s v="DAÑADO"/>
    <s v="-"/>
    <s v="-"/>
    <s v="SSO MA DAND/5 Guias EST+Formularios/EST N°6"/>
    <x v="1"/>
    <x v="0"/>
  </r>
  <r>
    <s v="-"/>
    <m/>
    <d v="2024-02-14T00:00:00"/>
    <x v="20"/>
    <s v="DAÑADO"/>
    <s v="-"/>
    <s v="-"/>
    <s v="SSO MA DAND/5 Guias EST+Formularios/EST N°6"/>
    <x v="1"/>
    <x v="0"/>
  </r>
  <r>
    <s v="-"/>
    <m/>
    <d v="2024-02-14T00:00:00"/>
    <x v="20"/>
    <s v="DAÑADO"/>
    <s v="-"/>
    <s v="-"/>
    <s v="SSO MA DAND/5 Guias EST+Formularios/EST N°6/Doc Externa N°6"/>
    <x v="1"/>
    <x v="0"/>
  </r>
  <r>
    <s v="-"/>
    <m/>
    <d v="2024-02-14T00:00:00"/>
    <x v="20"/>
    <s v="DAÑADO"/>
    <s v="-"/>
    <s v="-"/>
    <s v="SSO MA DAND/5 Guias EST+Formularios/EST N°7"/>
    <x v="1"/>
    <x v="0"/>
  </r>
  <r>
    <s v="-"/>
    <m/>
    <d v="2024-02-14T00:00:00"/>
    <x v="20"/>
    <s v="DAÑADO"/>
    <s v="-"/>
    <s v="-"/>
    <s v="SSO MA DAND/5 Guias EST+Formularios/EST N°7/Doc Externa N°7"/>
    <x v="1"/>
    <x v="0"/>
  </r>
  <r>
    <s v="-"/>
    <m/>
    <d v="2024-02-14T00:00:00"/>
    <x v="20"/>
    <s v="DAÑADO"/>
    <s v="-"/>
    <s v="-"/>
    <s v="SSO MA DAND/5 Guias EST+Formularios/EST N°8"/>
    <x v="1"/>
    <x v="0"/>
  </r>
  <r>
    <s v="-"/>
    <m/>
    <d v="2024-02-14T00:00:00"/>
    <x v="20"/>
    <s v="DAÑADO"/>
    <s v="-"/>
    <s v="-"/>
    <s v="SSO MA DAND/5 Guias EST+Formularios/EST N°10"/>
    <x v="1"/>
    <x v="0"/>
  </r>
  <r>
    <s v="LISTA VERIFICACION GUIA EST. SALUD EN EL TRABAJO N°1 - EST-1 - GESTION DE SALUD EN EL TRABAJO"/>
    <n v="3"/>
    <d v="2024-02-14T00:00:00"/>
    <x v="2"/>
    <s v="ESTUDIO"/>
    <s v="-"/>
    <s v="SSO"/>
    <s v="SSO MA DAND/5 Guias EST+Formularios/SIGO-LV-EST"/>
    <x v="1"/>
    <x v="0"/>
  </r>
  <r>
    <s v="LISTA VERIFICACION GUIA EST. SALUD EN EL TRABAJO N°2 - EST-2 - VIGILANCIA MEDICA OCUPACIONAL"/>
    <n v="3"/>
    <d v="2024-02-14T00:00:00"/>
    <x v="2"/>
    <s v="ESTUDIO"/>
    <s v="-"/>
    <s v="SSO"/>
    <s v="SSO MA DAND/5 Guias EST+Formularios/SIGO-LV-EST"/>
    <x v="1"/>
    <x v="0"/>
  </r>
  <r>
    <s v="LISTA VERIFICACION GUIA EST. SALUD EN EL TRABAJO N°3 - EST-3 - HIGIENE OCUPACIONAL"/>
    <n v="3"/>
    <d v="2024-02-14T00:00:00"/>
    <x v="2"/>
    <s v="ESTUDIO"/>
    <s v="-"/>
    <s v="SSO"/>
    <s v="SSO MA DAND/5 Guias EST+Formularios/SIGO-LV-EST"/>
    <x v="1"/>
    <x v="0"/>
  </r>
  <r>
    <s v="LISTA VERIFICACION GUIA EST. SALUD EN EL TRABAJO N°4 - EST-4 - ERGONOMIA"/>
    <n v="3"/>
    <d v="2024-02-14T00:00:00"/>
    <x v="2"/>
    <s v="ESTUDIO"/>
    <s v="-"/>
    <s v="SSO"/>
    <s v="SSO MA DAND/5 Guias EST+Formularios/SIGO-LV-EST"/>
    <x v="1"/>
    <x v="0"/>
  </r>
  <r>
    <s v="LISTA VERIFICACION GUIA EST. SALUD EN EL TRABAJO N°5 - EST-5 - SALUD COMPATIBLE, EXAMENES PRE-OCUPACIONALES Y OCUPACIONALES"/>
    <n v="3"/>
    <d v="2024-02-14T00:00:00"/>
    <x v="2"/>
    <s v="ESTUDIO"/>
    <s v="-"/>
    <s v="SSO"/>
    <s v="SSO MA DAND/5 Guias EST+Formularios/SIGO-LV-EST"/>
    <x v="1"/>
    <x v="0"/>
  </r>
  <r>
    <s v="LISTA VERIFICACION GUIA EST. SALUD EN EL TRABAJO N°6 - EST-6 - FATIGA Y SOMNOLENCIA"/>
    <n v="3"/>
    <d v="2024-02-14T00:00:00"/>
    <x v="2"/>
    <s v="ESTUDIO"/>
    <s v="-"/>
    <s v="SSO"/>
    <s v="SSO MA DAND/5 Guias EST+Formularios/SIGO-LV-EST"/>
    <x v="1"/>
    <x v="0"/>
  </r>
  <r>
    <s v="LISTA VERIFICACION GUIA EST. SALUD EN EL TRABAJO N°7 - EST-7 - FACTORES BIOPSICOSOCIALES"/>
    <n v="3"/>
    <d v="2024-02-14T00:00:00"/>
    <x v="2"/>
    <s v="ESTUDIO"/>
    <s v="-"/>
    <s v="SSO"/>
    <s v="SSO MA DAND/5 Guias EST+Formularios/SIGO-LV-EST"/>
    <x v="1"/>
    <x v="0"/>
  </r>
  <r>
    <s v="LISTA VERIFICACION GUIA EST. SALUD EN EL TRABAJO N°8 - EST-8 - ALCOHOL, DROGAS Y TABACO"/>
    <n v="3"/>
    <d v="2024-02-14T00:00:00"/>
    <x v="2"/>
    <s v="ESTUDIO"/>
    <s v="-"/>
    <s v="SSO"/>
    <s v="SSO MA DAND/5 Guias EST+Formularios/SIGO-LV-EST"/>
    <x v="1"/>
    <x v="0"/>
  </r>
  <r>
    <s v="LISTA VERIFICACION GUIA EST. SALUD EN EL TRABAJO N°9 - EST-9 - RESTRICCIONES, REUBICACIONES, REHABILITACION Y REEDUCACION LABORAL"/>
    <n v="3"/>
    <d v="2024-02-14T00:00:00"/>
    <x v="2"/>
    <s v="ESTUDIO"/>
    <s v="-"/>
    <s v="SSO"/>
    <s v="SSO MA DAND/5 Guias EST+Formularios/SIGO-LV-EST"/>
    <x v="1"/>
    <x v="0"/>
  </r>
  <r>
    <s v="LISTA VERIFICACION GUIA EST. SALUD EN EL TRABAJO N°10 - EST-10 - MATERNIDAD"/>
    <n v="3"/>
    <d v="2024-02-14T00:00:00"/>
    <x v="2"/>
    <s v="ESTUDIO"/>
    <s v="-"/>
    <s v="SSO"/>
    <s v="SSO MA DAND/5 Guias EST+Formularios/SIGO-LV-EST"/>
    <x v="1"/>
    <x v="0"/>
  </r>
  <r>
    <s v="-"/>
    <m/>
    <d v="2024-02-14T00:00:00"/>
    <x v="20"/>
    <s v="DAÑADO"/>
    <s v="-"/>
    <s v="-"/>
    <s v="SSO MA DAND/6 SGRA"/>
    <x v="1"/>
    <x v="0"/>
  </r>
  <r>
    <s v="ANALISIS CAUSAL DE INCIDENTE OPERACIONAL CON CONSECUENCIAS AMBIENTALES DE CATEGORIA LEVE"/>
    <s v="-"/>
    <d v="2024-02-14T00:00:00"/>
    <x v="2"/>
    <s v="ESTUDIO"/>
    <s v="-"/>
    <s v="M. AMBIENTAL"/>
    <s v="SSO MA DAND/6 SGRA"/>
    <x v="1"/>
    <x v="0"/>
  </r>
  <r>
    <s v="SISTEMA DE GESTIÓN DE RELACIONAMIENTO COMUNITARIO PROCEDIMIENTO DE GESTIÓN COMUNITARIA DAND"/>
    <n v="0"/>
    <d v="2024-02-14T00:00:00"/>
    <x v="7"/>
    <s v="ESTUDIO"/>
    <n v="8"/>
    <s v="M. AMBIENTAL"/>
    <s v="SSO MA DAND/6 SGRA"/>
    <x v="1"/>
    <x v="0"/>
  </r>
  <r>
    <s v="-"/>
    <m/>
    <d v="2024-02-14T00:00:00"/>
    <x v="20"/>
    <s v="DAÑADO"/>
    <s v="-"/>
    <s v="-"/>
    <s v="SSO MA DAND/6 SGRA/1- INSTRUCTIVOS GSAE"/>
    <x v="1"/>
    <x v="0"/>
  </r>
  <r>
    <s v="-"/>
    <m/>
    <d v="2024-02-14T00:00:00"/>
    <x v="20"/>
    <s v="DAÑADO"/>
    <s v="-"/>
    <s v="-"/>
    <s v="SSO MA DAND/6 SGRA/1- INSTRUCTIVOS GSAE"/>
    <x v="1"/>
    <x v="0"/>
  </r>
  <r>
    <s v="INSTRUCTIVO: PREPARACIÓN DEL PLAN DE PROTECCIÓN AMBIENTAL (PPMA)"/>
    <n v="0"/>
    <d v="2024-02-14T00:00:00"/>
    <x v="4"/>
    <s v="ESTUDIO"/>
    <n v="3"/>
    <s v="M. AMBIENTAL"/>
    <s v="SSO MA DAND/6 SGRA/1- INSTRUCTIVOS GSAE"/>
    <x v="1"/>
    <x v="0"/>
  </r>
  <r>
    <s v="-"/>
    <m/>
    <d v="2024-02-14T00:00:00"/>
    <x v="20"/>
    <s v="DAÑADO"/>
    <s v="-"/>
    <s v="-"/>
    <s v="SSO MA DAND/6 SGRA/1- INSTRUCTIVOS GSAE"/>
    <x v="1"/>
    <x v="0"/>
  </r>
  <r>
    <s v="-"/>
    <m/>
    <d v="2024-02-14T00:00:00"/>
    <x v="20"/>
    <s v="DAÑADO"/>
    <s v="-"/>
    <s v="-"/>
    <s v="SSO MA DAND/6 SGRA/1- INSTRUCTIVOS GSAE"/>
    <x v="1"/>
    <x v="0"/>
  </r>
  <r>
    <s v="-"/>
    <m/>
    <d v="2024-02-14T00:00:00"/>
    <x v="20"/>
    <s v="DAÑADO"/>
    <s v="-"/>
    <s v="-"/>
    <s v="SSO MA DAND/6 SGRA/1- INSTRUCTIVOS GSAE"/>
    <x v="1"/>
    <x v="0"/>
  </r>
  <r>
    <s v="-"/>
    <m/>
    <d v="2024-02-14T00:00:00"/>
    <x v="20"/>
    <s v="DAÑADO"/>
    <s v="-"/>
    <s v="-"/>
    <s v="SSO MA DAND/6 SGRA/1- INSTRUCTIVOS GSAE"/>
    <x v="1"/>
    <x v="0"/>
  </r>
  <r>
    <s v="-"/>
    <m/>
    <d v="2024-02-14T00:00:00"/>
    <x v="20"/>
    <s v="DAÑADO"/>
    <s v="-"/>
    <s v="-"/>
    <s v="SSO MA DAND/6 SGRA/1- INSTRUCTIVOS GSAE"/>
    <x v="1"/>
    <x v="0"/>
  </r>
  <r>
    <s v="-"/>
    <m/>
    <d v="2024-02-14T00:00:00"/>
    <x v="20"/>
    <s v="DAÑADO"/>
    <s v="-"/>
    <s v="-"/>
    <s v="SSO MA DAND/6 SGRA/1- INSTRUCTIVOS GSAE"/>
    <x v="1"/>
    <x v="0"/>
  </r>
  <r>
    <s v="-"/>
    <m/>
    <d v="2024-02-14T00:00:00"/>
    <x v="20"/>
    <s v="DAÑADO"/>
    <s v="-"/>
    <s v="-"/>
    <s v="SSO MA DAND/6 SGRA/1- INSTRUCTIVOS GSAE"/>
    <x v="1"/>
    <x v="0"/>
  </r>
  <r>
    <s v="INSTRUCTIVO: ALMACENAJE Y MANEJO DE RESIDUOS SÓLIDOS EN AREAS GENERADORAS"/>
    <n v="0"/>
    <d v="2024-02-14T00:00:00"/>
    <x v="4"/>
    <s v="ESTUDIO"/>
    <n v="1"/>
    <s v="M. AMBIENTAL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PROCEDIMIENTO: GESTION DE RCA"/>
    <n v="0"/>
    <d v="2024-02-14T00:00:00"/>
    <x v="7"/>
    <s v="ESTUDIO"/>
    <n v="7"/>
    <s v="M. AMBIENTAL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PROCEDIMIENTO DE CONTINGENCIA PROYECTO DE EXTRACCION DE ARIDOS SECTOR PIQUENES"/>
    <n v="0"/>
    <d v="2024-02-14T00:00:00"/>
    <x v="7"/>
    <s v="ESTUDIO"/>
    <n v="4"/>
    <s v="M. AMBIENTAL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PLAN DE PREVENCION DE CONTINGENCIAS Y EMERGENCIAS DEL PROYECTO PLANTA DE RECUPERACION DE COBRE Y MOLIBDENO DESDE RELAVES"/>
    <n v="0"/>
    <d v="2024-02-14T00:00:00"/>
    <x v="7"/>
    <s v="ESTUDIO"/>
    <n v="9"/>
    <s v="M. AMBIENTAL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-"/>
    <m/>
    <d v="2024-02-14T00:00:00"/>
    <x v="20"/>
    <s v="DAÑADO"/>
    <s v="-"/>
    <s v="-"/>
    <s v="SSO MA DAND/6 SGRA/2- PROCEDIMIENTOS"/>
    <x v="1"/>
    <x v="0"/>
  </r>
  <r>
    <s v="SISTEMA DE GESTIÓN DE RELACIONAMIENTO COMUNITARIO PROCEDIMIENTO DE GESTIÓN COMUNITARIA DAND"/>
    <n v="0"/>
    <d v="2024-02-14T00:00:00"/>
    <x v="7"/>
    <s v="ESTUDIO"/>
    <n v="8"/>
    <s v="M. AMBIENTAL"/>
    <s v="SSO MA DAND/6 SGRA/2- PROCEDIMIENTOS"/>
    <x v="1"/>
    <x v="0"/>
  </r>
  <r>
    <s v="GUIA DE APLICACIÓN DE ESTADARES AMBIENTALES Y COMUNITARIOS - APLICACIÓN GERENCIA DE MINAS"/>
    <s v="-"/>
    <d v="2024-02-14T00:00:00"/>
    <x v="21"/>
    <s v="ESTUDIO"/>
    <n v="26"/>
    <s v="M. AMBIENTAL"/>
    <s v="SSO MA DAND/6 SGRA/ESTANDARES"/>
    <x v="1"/>
    <x v="0"/>
  </r>
  <r>
    <s v="GUIA DE APLICACIÓN DE ESTADARES AMBIENTALES Y COMUNITARIOS - GERENCIA DE PLANTAS"/>
    <s v="-"/>
    <d v="2024-02-14T00:00:00"/>
    <x v="21"/>
    <s v="ESTUDIO"/>
    <n v="24"/>
    <s v="M. AMBIENTAL"/>
    <s v="SSO MA DAND/6 SGRA/ESTANDARES"/>
    <x v="1"/>
    <x v="0"/>
  </r>
  <r>
    <s v="-"/>
    <m/>
    <d v="2024-02-14T00:00:00"/>
    <x v="20"/>
    <s v="DAÑADO"/>
    <s v="-"/>
    <s v="-"/>
    <s v="SSO MA DAND/6 SGRA/ESTANDARES"/>
    <x v="1"/>
    <x v="0"/>
  </r>
  <r>
    <s v="GUIA DE APLICACIÓN DE ESTADARES AMBIENTALES Y COMUNITARIOS - GERENCIA DE SERVICIO"/>
    <s v="-"/>
    <d v="2024-02-14T00:00:00"/>
    <x v="21"/>
    <s v="ESTUDIO"/>
    <n v="22"/>
    <s v="M. AMBIENTAL"/>
    <s v="SSO MA DAND/6 SGRA/ESTANDARES"/>
    <x v="1"/>
    <x v="0"/>
  </r>
  <r>
    <s v="-"/>
    <m/>
    <d v="2024-02-14T00:00:00"/>
    <x v="20"/>
    <s v="DAÑADO"/>
    <s v="-"/>
    <s v="-"/>
    <s v="SSO MA DAND/6 SGRA/ESTANDARES"/>
    <x v="1"/>
    <x v="0"/>
  </r>
  <r>
    <s v="GUIA X M. AMBIENTAL"/>
    <s v="-"/>
    <d v="2024-02-14T00:00:00"/>
    <x v="21"/>
    <s v="ESTUDIO"/>
    <n v="96"/>
    <s v="M. AMBIENTAL"/>
    <s v="SSO MA DAND/6 SGRA/ESTANDARES"/>
    <x v="1"/>
    <x v="0"/>
  </r>
  <r>
    <s v="MANUAL: SISTEMA DE GESTIÓN DE RIESGO AMBIENTAL DE GSAE - DAND"/>
    <n v="0"/>
    <d v="2024-02-14T00:00:00"/>
    <x v="24"/>
    <s v="ESTUDIO"/>
    <n v="8"/>
    <s v="M. AMBIENTAL"/>
    <s v="SSO MA DAND/6 SGRA/MANUALES"/>
    <x v="1"/>
    <x v="0"/>
  </r>
  <r>
    <s v="-"/>
    <m/>
    <d v="2024-02-14T00:00:00"/>
    <x v="20"/>
    <s v="DAÑADO"/>
    <s v="-"/>
    <s v="-"/>
    <s v="SSO MA DAND/6 SGRA/MANUALES"/>
    <x v="1"/>
    <x v="0"/>
  </r>
  <r>
    <s v="REGISTRO DE INCIDENTES AMBIENTALES"/>
    <s v="-"/>
    <d v="2024-02-14T00:00:00"/>
    <x v="2"/>
    <s v="ESTUDIO"/>
    <s v="-"/>
    <s v="M. AMBIENTAL"/>
    <s v="SSO MA DAND/6 SGRA/REGISTROS"/>
    <x v="1"/>
    <x v="0"/>
  </r>
  <r>
    <s v="MATRIZ DE FUENTES FIJAS"/>
    <s v="-"/>
    <d v="2024-02-14T00:00:00"/>
    <x v="25"/>
    <s v="ESTUDIO"/>
    <s v="-"/>
    <s v="M. AMBIENTAL"/>
    <s v="SSO MA DAND/6 SGRA/REGISTROS"/>
    <x v="1"/>
    <x v="0"/>
  </r>
  <r>
    <s v="PROCEDIMIENTO DE APLICACION ANALISIS DE RIESGOS DE SUSTENTABILIDAD PARA PROYECTOS (NCC- 24)"/>
    <n v="1"/>
    <d v="2024-02-14T00:00:00"/>
    <x v="7"/>
    <s v="ESTUDIO"/>
    <n v="12"/>
    <s v="M. AMBIENTAL"/>
    <s v="SSO MA DAND/7 NCC"/>
    <x v="1"/>
    <x v="0"/>
  </r>
  <r>
    <s v="PROCEDIMIENTO DE APLICACION ANALISIS DE RIESGOS DE SUSTENTABILIDAD PARA PROYECTOS (NCC- 24)"/>
    <n v="1"/>
    <d v="2024-02-14T00:00:00"/>
    <x v="7"/>
    <s v="ESTUDIO"/>
    <n v="12"/>
    <s v="M. AMBIENTAL"/>
    <s v="SSO MA DAND/7 NCC"/>
    <x v="1"/>
    <x v="0"/>
  </r>
  <r>
    <s v="NCC N°38 - GESTION DE INCIDENTES OPERACIONALES CON CONSECUENCIAS AMBIENTALES"/>
    <n v="1"/>
    <d v="2024-02-14T00:00:00"/>
    <x v="6"/>
    <s v="ESTUDIO"/>
    <n v="21"/>
    <s v="M. AMBIENTAL"/>
    <s v="SSO MA DAND/7 NCC"/>
    <x v="1"/>
    <x v="0"/>
  </r>
  <r>
    <s v="NCC N°40 - SEGURIDAD CONTRA INCENDIO"/>
    <n v="1"/>
    <d v="2024-02-14T00:00:00"/>
    <x v="6"/>
    <s v="ESTUDIO"/>
    <n v="164"/>
    <s v="SSO"/>
    <s v="SSO MA DAND/7 NCC"/>
    <x v="1"/>
    <x v="0"/>
  </r>
  <r>
    <s v="PROCEDIMIENTO DESARROLLO TALLER DE MANTENIBILIDAD Y CONFIABILIDAD NCC 30"/>
    <n v="1"/>
    <d v="2024-02-14T00:00:00"/>
    <x v="7"/>
    <s v="ESTUDIO"/>
    <n v="28"/>
    <s v="SSO"/>
    <s v="SSO MA DAND/7 NCC"/>
    <x v="1"/>
    <x v="0"/>
  </r>
  <r>
    <s v="LISTADO DE EVENTOS DE ALTO IMPACTO"/>
    <s v="-"/>
    <d v="2024-02-14T00:00:00"/>
    <x v="2"/>
    <s v="ESTUDIO"/>
    <s v="-"/>
    <s v="SSO"/>
    <s v="SSO MA DAND/8 IPER"/>
    <x v="1"/>
    <x v="0"/>
  </r>
  <r>
    <s v="PROCEDIMIENTO ESTRUCTURAL - SIGO CODELCO PARA LA GESTION DE PERDIDAS"/>
    <n v="1"/>
    <d v="2024-02-14T00:00:00"/>
    <x v="7"/>
    <s v="ESTUDIO"/>
    <n v="28"/>
    <s v="SSO"/>
    <s v="SSO MA DAND/8 IPER"/>
    <x v="1"/>
    <x v="0"/>
  </r>
  <r>
    <s v="MATRIZ DE RIESGOS DE PROCESOS"/>
    <n v="3"/>
    <d v="2024-02-14T00:00:00"/>
    <x v="2"/>
    <s v="ESTUDIO"/>
    <s v="-"/>
    <s v="SSO"/>
    <s v="SSO MA DAND/8 IPER/Formato IPER"/>
    <x v="1"/>
    <x v="0"/>
  </r>
  <r>
    <s v="ELEMENTO 2 - MATRIZ DE RIESGOS DE PROCESOS"/>
    <s v="-"/>
    <d v="2024-02-14T00:00:00"/>
    <x v="18"/>
    <s v="ESTUDIO"/>
    <n v="82"/>
    <s v="SSO"/>
    <s v="SSO MA DAND/8 IPER/Presentaciones"/>
    <x v="1"/>
    <x v="0"/>
  </r>
  <r>
    <s v="-"/>
    <m/>
    <d v="2024-02-14T00:00:00"/>
    <x v="20"/>
    <s v="DAÑADO"/>
    <s v="-"/>
    <s v="-"/>
    <s v="SSO MA DAND/8 IPER/Presentaciones/Guia Controles"/>
    <x v="1"/>
    <x v="0"/>
  </r>
  <r>
    <s v="MAPA DE PROCESOS, ACTIVIDADES Y TAREAS DE UNA UNIDAD ORGANIZACIONAL EN ESTUDIO"/>
    <n v="2"/>
    <d v="2024-02-14T00:00:00"/>
    <x v="2"/>
    <s v="ESTUDIO"/>
    <n v="1"/>
    <s v="SSO"/>
    <s v="SSO MA DAND/8 IPER/SIGO-F-011"/>
    <x v="1"/>
    <x v="0"/>
  </r>
  <r>
    <s v="PROCEDIMIENTO ESTRUCTURAL - ADMINISTRACION DE RIESGOS SEGURIDAD, SALUD EN EL TRABAJO Y RIESGOS OPERACIONALES"/>
    <n v="2"/>
    <d v="2024-02-14T00:00:00"/>
    <x v="7"/>
    <s v="ESTUDIO"/>
    <n v="33"/>
    <s v="SSO"/>
    <s v="SSO MA DAND/8 IPER/SIGO-P-006 "/>
    <x v="1"/>
    <x v="0"/>
  </r>
  <r>
    <s v="SISTEMA DE GESTION PARA LA SEGURIDAD, SALUD EN EL TRABAJO Y RIESGOS OPERACIONALES"/>
    <s v="-"/>
    <d v="2024-02-14T00:00:00"/>
    <x v="24"/>
    <s v="ESTUDIO"/>
    <n v="27"/>
    <s v="SSO"/>
    <s v="SSO MA DAND/9 Manual del SSGT y Proc estructurales"/>
    <x v="1"/>
    <x v="0"/>
  </r>
  <r>
    <s v="MANUAL PARA LA ADMINISTRACION DE LA SEGURIDAD Y SALUD OCUPACIONAL"/>
    <s v="-"/>
    <d v="2024-02-14T00:00:00"/>
    <x v="24"/>
    <s v="ESTUDIO"/>
    <n v="28"/>
    <s v="SSO"/>
    <s v="SSO MA DAND/9 Manual del SSGT y Proc estructurales"/>
    <x v="1"/>
    <x v="0"/>
  </r>
  <r>
    <s v="MANUAL DE GESTION PARA CONTROLES CRITICOS SSO"/>
    <n v="12"/>
    <d v="2024-02-14T00:00:00"/>
    <x v="24"/>
    <s v="ESTUDIO"/>
    <n v="40"/>
    <s v="SSO"/>
    <s v="SSO MA DAND/9 Manual del SSGT y Proc estructurales"/>
    <x v="1"/>
    <x v="0"/>
  </r>
  <r>
    <s v="ACTUACION EN CASO DE EMERGENCIAS AMBIENTALES"/>
    <n v="1"/>
    <d v="2024-02-14T00:00:00"/>
    <x v="7"/>
    <s v="ESTUDIO"/>
    <n v="39"/>
    <s v="M. AMBIENTAL"/>
    <s v="SSO MA DAND/10 Emergencias"/>
    <x v="1"/>
    <x v="0"/>
  </r>
  <r>
    <s v="ACTUACIÓN EN CASO DE EMERGENCIA POR EMANACION DE GAS NITROSO GENERAL PLANTA"/>
    <n v="1"/>
    <d v="2024-02-14T00:00:00"/>
    <x v="7"/>
    <s v="ESTUDIO"/>
    <n v="12"/>
    <s v="M. AMBIENTAL"/>
    <s v="SSO MA DAND/10 Emergencias"/>
    <x v="1"/>
    <x v="0"/>
  </r>
  <r>
    <s v="ACTUACIÓN EN CASO DE EMERGENCIA POR EMANACION DE GAS SULFHIDRICO GENERAL PLANTA"/>
    <n v="7"/>
    <d v="2024-02-14T00:00:00"/>
    <x v="7"/>
    <s v="ESTUDIO"/>
    <n v="4"/>
    <s v="SSO"/>
    <s v="SSO MA DAND/10 Emergencias"/>
    <x v="1"/>
    <x v="0"/>
  </r>
  <r>
    <s v="ACTUACION EN CASO DE FUGA DE GAS CLORO FUERA DE CONTROL"/>
    <n v="5"/>
    <d v="2024-02-14T00:00:00"/>
    <x v="7"/>
    <s v="ESTUDIO"/>
    <n v="7"/>
    <s v="SSO"/>
    <s v="SSO MA DAND/10 Emergencias"/>
    <x v="1"/>
    <x v="0"/>
  </r>
  <r>
    <s v="ACTUACIÓN EN CASO DE INCENDIO EN LA SUPERINTENDENCIA PLANTA DE MOLIBDENO Y FILTRADO DE COBRE"/>
    <n v="7"/>
    <d v="2024-02-14T00:00:00"/>
    <x v="7"/>
    <s v="ESTUDIO"/>
    <n v="16"/>
    <s v="SSO"/>
    <s v="SSO MA DAND/10 Emergencias"/>
    <x v="1"/>
    <x v="0"/>
  </r>
  <r>
    <s v="ACTUACIÓN Y EVACUACIÓN EN CASO DE INCENDIO PLANTAS TRASPASO EN PUESTA EN MARCHA"/>
    <n v="0"/>
    <d v="2024-02-14T00:00:00"/>
    <x v="7"/>
    <s v="ESTUDIO"/>
    <n v="24"/>
    <s v="SSO"/>
    <s v="SSO MA DAND/10 Emergencias"/>
    <x v="1"/>
    <x v="0"/>
  </r>
  <r>
    <s v="ACTUACION DEL PERSONAL EN CASO DE INCENDIO EN MINA SUBTERRANEA"/>
    <n v="11"/>
    <d v="2024-02-14T00:00:00"/>
    <x v="7"/>
    <s v="ESTUDIO"/>
    <n v="39"/>
    <s v="SSO"/>
    <s v="SSO MA DAND/10 Emergencias"/>
    <x v="1"/>
    <x v="0"/>
  </r>
  <r>
    <s v="-"/>
    <m/>
    <d v="2024-02-14T00:00:00"/>
    <x v="20"/>
    <s v="DAÑADO"/>
    <s v="-"/>
    <s v="-"/>
    <s v="SSO MA DAND/10 Emergencias"/>
    <x v="1"/>
    <x v="0"/>
  </r>
  <r>
    <s v="ACTUACION EN CASO DE EMERGENCIA EDIFICIO BARRIO CIVIL NODO 3500 DIV. ANDINA"/>
    <n v="1"/>
    <d v="2024-02-14T00:00:00"/>
    <x v="7"/>
    <s v="ESTUDIO"/>
    <n v="11"/>
    <s v="SSO"/>
    <s v="SSO MA DAND/10 Emergencias"/>
    <x v="1"/>
    <x v="0"/>
  </r>
  <r>
    <s v="LISTADO DE EVENTOS DE ALTO IMPACTO"/>
    <s v="-"/>
    <d v="2024-02-14T00:00:00"/>
    <x v="2"/>
    <s v="ESTUDIO"/>
    <s v="-"/>
    <s v="SSO"/>
    <s v="SSO MA DAND/10 Emergencias"/>
    <x v="1"/>
    <x v="0"/>
  </r>
  <r>
    <s v="MANUAL DE EMERGENCIAS TRANQUE DE RELAVES OVEJERIA"/>
    <n v="9"/>
    <d v="2024-02-14T00:00:00"/>
    <x v="24"/>
    <s v="ESTUDIO"/>
    <n v="38"/>
    <s v="SSO"/>
    <s v="SSO MA DAND/10 Emergencias"/>
    <x v="1"/>
    <x v="0"/>
  </r>
  <r>
    <s v="-"/>
    <m/>
    <d v="2024-02-14T00:00:00"/>
    <x v="20"/>
    <s v="DAÑADO"/>
    <s v="-"/>
    <s v="-"/>
    <s v="SSO MA DAND/10 Emergencias"/>
    <x v="1"/>
    <x v="0"/>
  </r>
  <r>
    <s v="PLAN DE EMERGENCIAS PLANTAS TRASPASO EN PUESTA EN MARCHA"/>
    <n v="0"/>
    <d v="2024-02-14T00:00:00"/>
    <x v="5"/>
    <s v="ESTUDIO"/>
    <n v="46"/>
    <s v="SSO"/>
    <s v="SSO MA DAND/10 Emergencias"/>
    <x v="1"/>
    <x v="0"/>
  </r>
  <r>
    <s v="PROCEDIMIENTO DE RESPUESTAS A EMERGENCIAS GERENCIA PLANTAS"/>
    <n v="5"/>
    <d v="2024-02-14T00:00:00"/>
    <x v="7"/>
    <s v="ESTUDIO"/>
    <n v="35"/>
    <s v="SSO"/>
    <s v="SSO MA DAND/10 Emergencias"/>
    <x v="1"/>
    <x v="0"/>
  </r>
  <r>
    <s v="PROCEDIMIENTO DE RESPUESTAS ANTE EMERGENCIAS PROCESO RELAVES Y TRANSPORTE DE CONCENTRADO - AREA CORDILLERA"/>
    <n v="2"/>
    <d v="2024-02-14T00:00:00"/>
    <x v="7"/>
    <s v="ESTUDIO"/>
    <n v="23"/>
    <s v="SSO"/>
    <s v="SSO MA DAND/10 Emergencias"/>
    <x v="1"/>
    <x v="0"/>
  </r>
  <r>
    <s v="PROCEDIMIENTO EN CASO DE TORMENTAS ELÉCTRICAS"/>
    <n v="3"/>
    <d v="2024-02-14T00:00:00"/>
    <x v="7"/>
    <s v="ESTUDIO"/>
    <n v="19"/>
    <s v="SSO"/>
    <s v="SSO MA DAND/10 Emergencias"/>
    <x v="1"/>
    <x v="0"/>
  </r>
  <r>
    <s v="TRANSITO EN TUNELES EN STR"/>
    <n v="0"/>
    <d v="2024-02-14T00:00:00"/>
    <x v="7"/>
    <s v="ESTUDIO"/>
    <n v="16"/>
    <s v="SSO"/>
    <s v="SSO MA DAND/10 Emergencias"/>
    <x v="1"/>
    <x v="0"/>
  </r>
  <r>
    <s v="USO DE REFUGIO MINA SUBTERRANEA"/>
    <n v="4"/>
    <d v="2024-02-14T00:00:00"/>
    <x v="7"/>
    <s v="ESTUDIO"/>
    <n v="20"/>
    <s v="SSO"/>
    <s v="SSO MA DAND/10 Emergencias"/>
    <x v="1"/>
    <x v="0"/>
  </r>
  <r>
    <s v="DECLARACIÓN CALIDAD DE TRABAJADORES(AS) EN SISTEMA DE ACREDITACIÓN"/>
    <s v="-"/>
    <d v="2024-02-14T00:00:00"/>
    <x v="26"/>
    <s v="ESTUDIO"/>
    <n v="2"/>
    <s v="GENERAL"/>
    <s v="SSO MA DAND/11 Manual  Workmate EECC"/>
    <x v="1"/>
    <x v="0"/>
  </r>
  <r>
    <s v="MANUAL EMPRESA CONTRATISTA WORKMATE"/>
    <n v="3"/>
    <d v="2024-02-14T00:00:00"/>
    <x v="24"/>
    <s v="ESTUDIO"/>
    <n v="69"/>
    <s v="GENERAL"/>
    <s v="SSO MA DAND/11 Manual  Workmate EECC"/>
    <x v="1"/>
    <x v="0"/>
  </r>
  <r>
    <s v="PASO A PASO EXCLUSIVIDAD Y DENTRO FUERA DE FAENA"/>
    <s v="-"/>
    <d v="2024-02-14T00:00:00"/>
    <x v="21"/>
    <s v="ESTUDIO"/>
    <n v="4"/>
    <s v="GENERAL"/>
    <s v="SSO MA DAND/11 Manual  Workmate EECC"/>
    <x v="1"/>
    <x v="0"/>
  </r>
  <r>
    <s v="FORMULARIO ART"/>
    <s v="-"/>
    <d v="2024-02-14T00:00:00"/>
    <x v="2"/>
    <s v="ESTUDIO"/>
    <n v="2"/>
    <s v="SSO"/>
    <s v="SSO MA DAND/ART y Procedimiento"/>
    <x v="1"/>
    <x v="0"/>
  </r>
  <r>
    <s v="ESTANDAR TECNICO APLICACIÓN TARJETA VERDE"/>
    <n v="0"/>
    <d v="2024-02-14T00:00:00"/>
    <x v="22"/>
    <s v="ESTUDIO"/>
    <n v="6"/>
    <s v="SSO"/>
    <s v="SSO MA DAND/ART y Procedimiento"/>
    <x v="1"/>
    <x v="0"/>
  </r>
  <r>
    <s v="GUIA DE CONTROLES CRITICOS QUE SALVAN VIDAS"/>
    <s v="-"/>
    <d v="2024-02-14T00:00:00"/>
    <x v="21"/>
    <s v="ESTUDIO"/>
    <n v="54"/>
    <s v="SSO"/>
    <s v="SSO MA DAND/ART y Procedimiento"/>
    <x v="1"/>
    <x v="0"/>
  </r>
  <r>
    <s v="INGRESO Y RETIRO DE LA SUPERINTENDENCIA CONCENTRADOR"/>
    <n v="4"/>
    <d v="2024-02-14T00:00:00"/>
    <x v="7"/>
    <s v="ESTUDIO"/>
    <n v="9"/>
    <s v="SSO"/>
    <s v="SSO MA DAND/BEL"/>
    <x v="1"/>
    <x v="0"/>
  </r>
  <r>
    <s v="INSTRUCTIVO PROGRAMA DE TUTORIA PARA TRABAJADORES/AS CON BAJA EXPERIENCIA LABORAL EN MINERIA"/>
    <n v="1"/>
    <d v="2024-02-14T00:00:00"/>
    <x v="4"/>
    <s v="ESTUDIO"/>
    <n v="13"/>
    <s v="SSO"/>
    <s v="SSO MA DAND/BEL"/>
    <x v="1"/>
    <x v="0"/>
  </r>
  <r>
    <s v="PLAN DE IMPLEMENTACION USO DE CAMIONETAS"/>
    <n v="3"/>
    <d v="2024-02-14T00:00:00"/>
    <x v="18"/>
    <s v="ESTUDIO"/>
    <n v="5"/>
    <s v="SSO"/>
    <s v="SSO MA DAND/De la conduccion"/>
    <x v="1"/>
    <x v="0"/>
  </r>
  <r>
    <s v="INGRESO Y TRANSITO EN CAMINOS SECUNDARIOS"/>
    <n v="7"/>
    <d v="2024-02-14T00:00:00"/>
    <x v="7"/>
    <s v="ESTUDIO"/>
    <n v="13"/>
    <s v="SSO"/>
    <s v="SSO MA DAND/De la conduccion"/>
    <x v="1"/>
    <x v="0"/>
  </r>
  <r>
    <s v="PLAN DE TRANSITO STR"/>
    <n v="0"/>
    <d v="2024-02-14T00:00:00"/>
    <x v="5"/>
    <s v="ESTUDIO"/>
    <n v="15"/>
    <s v="SSO"/>
    <s v="SSO MA DAND/De la conduccion"/>
    <x v="1"/>
    <x v="0"/>
  </r>
  <r>
    <s v="PLAN DE TRÁNSITO SUPERINTENDENCIA DE CONCENTRACIÓN"/>
    <n v="2"/>
    <d v="2024-02-14T00:00:00"/>
    <x v="7"/>
    <s v="ESTUDIO"/>
    <n v="12"/>
    <s v="SSO"/>
    <s v="SSO MA DAND/De la conduccion"/>
    <x v="1"/>
    <x v="0"/>
  </r>
  <r>
    <s v="PLAN DE TRANSITO Y SEGREGACIÓN SUPERINTENDENCIA MOLIBDENO Y FILTRADO DE COBRE"/>
    <n v="4"/>
    <d v="2024-02-14T00:00:00"/>
    <x v="7"/>
    <s v="ESTUDIO"/>
    <n v="22"/>
    <s v="SSO"/>
    <s v="SSO MA DAND/De la conduccion"/>
    <x v="1"/>
    <x v="0"/>
  </r>
  <r>
    <s v="PLAN DE TRANSITO Y SEGREGACIÓN SUPERINTENDENCIA MOLIBDENO Y FILTRADO DE COBRE"/>
    <n v="3"/>
    <d v="2024-02-14T00:00:00"/>
    <x v="7"/>
    <s v="ESTUDIO"/>
    <n v="22"/>
    <s v="SSO"/>
    <s v="SSO MA DAND/De la conduccion"/>
    <x v="1"/>
    <x v="0"/>
  </r>
  <r>
    <s v="PLAN GENERAL DE EMERGENCIAS SUPERINTENDENCIA PLANTA DE MOLIBDENO Y FILTRADO DE COBRE"/>
    <n v="10"/>
    <d v="2024-02-14T00:00:00"/>
    <x v="7"/>
    <s v="ESTUDIO"/>
    <n v="17"/>
    <s v="SSO"/>
    <s v="SSO MA DAND/De la conduccion"/>
    <x v="1"/>
    <x v="0"/>
  </r>
  <r>
    <s v="PLAN DE GESTIÓN DE TRANSITO MINA SUBTERRANEA"/>
    <n v="0"/>
    <d v="2024-02-14T00:00:00"/>
    <x v="7"/>
    <s v="ESTUDIO"/>
    <n v="36"/>
    <s v="SSO"/>
    <s v="SSO MA DAND/De la conduccion"/>
    <x v="1"/>
    <x v="0"/>
  </r>
  <r>
    <s v="INSTRUCTIVO PLAN  DE TRANSITO TRASPASO, CMD, SECUNDARIO, CORREA REGENERATIVA CABEZAL Y COLA"/>
    <s v="-"/>
    <d v="2024-02-14T00:00:00"/>
    <x v="4"/>
    <s v="ESTUDIO"/>
    <n v="4"/>
    <s v="SSO"/>
    <s v="SSO MA DAND/De la conduccion"/>
    <x v="1"/>
    <x v="0"/>
  </r>
  <r>
    <s v="-"/>
    <m/>
    <d v="2024-02-14T00:00:00"/>
    <x v="20"/>
    <s v="DAÑADO"/>
    <s v="-"/>
    <s v="-"/>
    <s v="SSO MA DAND/De la conduccion"/>
    <x v="1"/>
    <x v="0"/>
  </r>
  <r>
    <s v="PROCEDIMIENTO ETAPA DE EJECUCION"/>
    <n v="7"/>
    <d v="2024-02-14T00:00:00"/>
    <x v="7"/>
    <s v="ESTUDIO"/>
    <n v="11"/>
    <s v="SSO"/>
    <s v="SSO MA DAND/Doc GPRO"/>
    <x v="1"/>
    <x v="0"/>
  </r>
  <r>
    <s v="PROCEDIMIENTO OPERATIVO PROGRAMACIÓN OBRAS EN DETENCIÓN DE PLANTAS"/>
    <n v="3"/>
    <d v="2024-02-14T00:00:00"/>
    <x v="7"/>
    <s v="ESTUDIO"/>
    <n v="7"/>
    <s v="SSO"/>
    <s v="SSO MA DAND/Doc GPRO"/>
    <x v="1"/>
    <x v="0"/>
  </r>
  <r>
    <s v="PROTOCOLO IDENTIFICACION DE INTERFERENCIAS EN TERRENO"/>
    <n v="3"/>
    <d v="2024-02-14T00:00:00"/>
    <x v="2"/>
    <s v="ESTUDIO"/>
    <s v="-"/>
    <s v="SSO"/>
    <s v="SSO MA DAND/Doc GPRO"/>
    <x v="1"/>
    <x v="0"/>
  </r>
  <r>
    <s v="PROCESO DE PUESTA EN MARCHA GERENCIA DE PROYECTOS"/>
    <n v="3"/>
    <d v="2024-02-14T00:00:00"/>
    <x v="7"/>
    <s v="ESTUDIO"/>
    <n v="16"/>
    <s v="SSO"/>
    <s v="SSO MA DAND/Doc GPRO"/>
    <x v="1"/>
    <x v="0"/>
  </r>
  <r>
    <s v="ESTÁNDAR CONTROL DE FATALIDADES ECF 1 - AISLACIÓN Y BLOQUEO"/>
    <n v="1"/>
    <d v="2024-02-14T00:00:00"/>
    <x v="22"/>
    <s v="ESTUDIO"/>
    <n v="11"/>
    <s v="SSO"/>
    <s v="SSO MA DAND/Documentos Electricos"/>
    <x v="1"/>
    <x v="0"/>
  </r>
  <r>
    <s v="REGLAMENTO INTERNO DE SEGURIDAD ELÉCTRICA 2022"/>
    <n v="7"/>
    <d v="2024-02-14T00:00:00"/>
    <x v="19"/>
    <s v="ESTUDIO"/>
    <n v="49"/>
    <s v="SSO"/>
    <s v="SSO MA DAND/Documentos Electricos"/>
    <x v="1"/>
    <x v="0"/>
  </r>
  <r>
    <s v="INSTRUCTIVO PERMISO DE TRABAJO EN EQUIPOS ENERGIZADOS"/>
    <n v="1"/>
    <d v="2024-02-14T00:00:00"/>
    <x v="4"/>
    <s v="ESTUDIO"/>
    <n v="12"/>
    <s v="SSO"/>
    <s v="SSO MA DAND/Documentos Electricos"/>
    <x v="1"/>
    <x v="0"/>
  </r>
  <r>
    <s v="INSTRUCTIVO APLICACIÓN SOLICITUD DE DESCONEXION E INTERVENCION (SODI) PARA REALIZAR TRABAJOS ELECTRICOS"/>
    <n v="1"/>
    <d v="2024-02-14T00:00:00"/>
    <x v="4"/>
    <s v="ESTUDIO"/>
    <n v="8"/>
    <s v="SSO"/>
    <s v="SSO MA DAND/Documentos Electricos"/>
    <x v="1"/>
    <x v="0"/>
  </r>
  <r>
    <s v="INSTRUCTIVO REGULACION DEL USO DE LA LICENCIA ELECTRICA (LE) PARA INTERVENIR Y REALIZAR MANIOBRAS EN EQUIPOS Y SISTEMAS ELECTRICOS"/>
    <n v="3"/>
    <d v="2024-02-14T00:00:00"/>
    <x v="4"/>
    <s v="OBSOLETO"/>
    <n v="10"/>
    <s v="SSO"/>
    <s v="SSO MA DAND/Documentos Electricos"/>
    <x v="1"/>
    <x v="0"/>
  </r>
  <r>
    <s v="INSTRUCTIVO LICENCIA ELECTRICA"/>
    <n v="3"/>
    <d v="2024-02-14T00:00:00"/>
    <x v="4"/>
    <s v="ESTUDIO"/>
    <n v="12"/>
    <s v="SSO"/>
    <s v="SSO MA DAND/Documentos Electricos"/>
    <x v="1"/>
    <x v="0"/>
  </r>
  <r>
    <s v="INSTRUCTIVO - SIGO CODELCO TABLEROS ELECTRICOS PORTATILES DE TERRENO"/>
    <n v="0"/>
    <d v="2024-02-14T00:00:00"/>
    <x v="4"/>
    <s v="ESTUDIO"/>
    <n v="18"/>
    <s v="SSO"/>
    <s v="SSO MA DAND/Documentos Electricos"/>
    <x v="1"/>
    <x v="0"/>
  </r>
  <r>
    <s v="INSTRUCTIVO - SIGO CODELCO MOVIMIENTO DE CABLE MINERO EN RAJO INCA"/>
    <n v="0"/>
    <d v="2024-02-14T00:00:00"/>
    <x v="4"/>
    <s v="ESTUDIO"/>
    <n v="11"/>
    <s v="SSO"/>
    <s v="SSO MA DAND/Documentos Electricos"/>
    <x v="1"/>
    <x v="0"/>
  </r>
  <r>
    <s v="INSTRUCTIVO - SIGO CODELCO EQUIPOS DE SALVATAJE EN SALAS ELECTRICAS"/>
    <n v="0"/>
    <d v="2024-02-14T00:00:00"/>
    <x v="4"/>
    <s v="ESTUDIO"/>
    <n v="11"/>
    <s v="SSO"/>
    <s v="SSO MA DAND/Documentos Electricos"/>
    <x v="1"/>
    <x v="0"/>
  </r>
  <r>
    <s v="PROCEDIMIENTO OPERATIVO REQUISITOS PARA PERSONAL AUTORIZADO ELECTRICISTA SMMS"/>
    <n v="3"/>
    <d v="2024-02-14T00:00:00"/>
    <x v="7"/>
    <s v="ESTUDIO"/>
    <n v="11"/>
    <s v="SSO"/>
    <s v="SSO MA DAND/Documentos Electricos"/>
    <x v="1"/>
    <x v="0"/>
  </r>
  <r>
    <s v="REGLAMENTO ELECTRICO CORPORATIVO"/>
    <n v="1"/>
    <d v="2024-02-14T00:00:00"/>
    <x v="19"/>
    <s v="ESTUDIO"/>
    <n v="54"/>
    <s v="SSO"/>
    <s v="SSO MA DAND/Documentos Electricos"/>
    <x v="1"/>
    <x v="0"/>
  </r>
  <r>
    <s v="TRABAJOS ESPECIALES DE MANTENIMIENTO SISTEMAS ELECTRICOS"/>
    <n v="1"/>
    <d v="2024-02-14T00:00:00"/>
    <x v="7"/>
    <s v="ESTUDIO"/>
    <n v="11"/>
    <s v="SSO"/>
    <s v="SSO MA DAND/Documentos Electricos"/>
    <x v="1"/>
    <x v="0"/>
  </r>
  <r>
    <s v="INSTRUCTIVO CAMBIO DE NEUMÁTICOS VEHÍCULOS LIVIANOS"/>
    <n v="6"/>
    <d v="2024-02-14T00:00:00"/>
    <x v="4"/>
    <s v="ESTUDIO"/>
    <n v="3"/>
    <s v="SSO"/>
    <s v="SSO MA DAND/Documentos operativos"/>
    <x v="1"/>
    <x v="0"/>
  </r>
  <r>
    <s v="INSTRUCTIVO ENTREGA Y DEVOLUCIÓN DEL ÁREA EN MINA SUBTERRANEA"/>
    <n v="0"/>
    <d v="2024-02-14T00:00:00"/>
    <x v="4"/>
    <s v="ESTUDIO"/>
    <n v="3"/>
    <s v="SSO"/>
    <s v="SSO MA DAND/Documentos operativos"/>
    <x v="1"/>
    <x v="0"/>
  </r>
  <r>
    <s v="INGRESO Y RETIRO DE LA SUPERINTENDENCIA CONCENTRADOR"/>
    <n v="3"/>
    <d v="2024-02-14T00:00:00"/>
    <x v="7"/>
    <s v="ESTUDIO"/>
    <n v="10"/>
    <s v="SSO"/>
    <s v="SSO MA DAND/Documentos operativos"/>
    <x v="1"/>
    <x v="0"/>
  </r>
  <r>
    <s v="PROCEDIMIENTO - SIGO CODELCO PROCEDIMIENTO PARA APLIACACION DE PERMISOS DE TRABAJOS EN CALIENTE"/>
    <n v="2"/>
    <d v="2024-02-14T00:00:00"/>
    <x v="7"/>
    <s v="ESTUDIO"/>
    <n v="13"/>
    <s v="SSO"/>
    <s v="SSO MA DAND/Documentos operativos"/>
    <x v="1"/>
    <x v="0"/>
  </r>
  <r>
    <s v="PROCEDIMIENTO TRABAJOS SOBRE RAMPAS O SUPERFICIES DE CAMIONES"/>
    <n v="0"/>
    <d v="2024-02-14T00:00:00"/>
    <x v="7"/>
    <s v="ESTUDIO"/>
    <n v="6"/>
    <s v="SSO"/>
    <s v="SSO MA DAND/Documentos operativos"/>
    <x v="1"/>
    <x v="0"/>
  </r>
  <r>
    <s v="PROTOCOLO DE ENTREGA Y DEVOLUCION DEL AREA"/>
    <n v="3"/>
    <d v="2024-02-14T00:00:00"/>
    <x v="2"/>
    <s v="ESTUDIO"/>
    <s v="-"/>
    <s v="SSO"/>
    <s v="SSO MA DAND/Documentos operativos"/>
    <x v="1"/>
    <x v="0"/>
  </r>
  <r>
    <s v="RETIRO DE PIEDRAS DE ENTRE NEUMATICOS"/>
    <n v="1"/>
    <d v="2024-02-14T00:00:00"/>
    <x v="7"/>
    <s v="ESTUDIO"/>
    <n v="11"/>
    <s v="SSO"/>
    <s v="SSO MA DAND/Documentos operativos"/>
    <x v="1"/>
    <x v="0"/>
  </r>
  <r>
    <s v="PROCEDIMIENTO GENERAL SEÑALETICA"/>
    <n v="5"/>
    <d v="2024-02-14T00:00:00"/>
    <x v="7"/>
    <s v="ESTUDIO"/>
    <n v="25"/>
    <s v="SSO"/>
    <s v="SSO MA DAND/Documentos operativos"/>
    <x v="1"/>
    <x v="0"/>
  </r>
  <r>
    <s v="INGRESO Y RETIRO DE LA SUPERINTENDENCIA CHANCADO Y TRANSPORTE"/>
    <n v="8"/>
    <d v="2024-02-14T00:00:00"/>
    <x v="7"/>
    <s v="ESTUDIO"/>
    <n v="7"/>
    <s v="SSO"/>
    <s v="SSO MA DAND/Documentos operativos"/>
    <x v="1"/>
    <x v="0"/>
  </r>
  <r>
    <s v="INGRESO Y RETIRO DE LA SUPERINTENDENCIA CONCENTRADOR"/>
    <n v="3"/>
    <d v="2024-02-14T00:00:00"/>
    <x v="7"/>
    <s v="ESTUDIO"/>
    <n v="10"/>
    <s v="SSO"/>
    <s v="SSO MA DAND/Documentos operativos"/>
    <x v="1"/>
    <x v="0"/>
  </r>
  <r>
    <s v="PROCEDIMIENTO DE SEGREGACIÓN DE ÁREAS"/>
    <n v="0"/>
    <d v="2024-02-14T00:00:00"/>
    <x v="7"/>
    <s v="ESTUDIO"/>
    <n v="7"/>
    <s v="SSO"/>
    <s v="SSO MA DAND/Documentos operativos"/>
    <x v="1"/>
    <x v="0"/>
  </r>
  <r>
    <s v="PROCEDIMIENTO GENERAL SEÑALETICA"/>
    <n v="5"/>
    <d v="2024-02-14T00:00:00"/>
    <x v="7"/>
    <s v="ESTUDIO"/>
    <n v="25"/>
    <s v="SSO"/>
    <s v="SSO MA DAND/Documentos operativos"/>
    <x v="1"/>
    <x v="0"/>
  </r>
  <r>
    <s v="PROCEDIMIENTO ENTREGA DE ÁREA"/>
    <n v="3"/>
    <d v="2024-02-14T00:00:00"/>
    <x v="7"/>
    <s v="ESTUDIO"/>
    <n v="9"/>
    <s v="SSO"/>
    <s v="SSO MA DAND/Documentos operativos"/>
    <x v="1"/>
    <x v="0"/>
  </r>
  <r>
    <s v="USO DE REFUGIO MINA SUBTERRÁNEA"/>
    <n v="4"/>
    <d v="2024-02-14T00:00:00"/>
    <x v="7"/>
    <s v="ESTUDIO"/>
    <n v="20"/>
    <s v="SSO"/>
    <s v="SSO MA DAND/Documentos operativos"/>
    <x v="1"/>
    <x v="0"/>
  </r>
  <r>
    <s v="INSTRUCTIVO VIGILANTE DE INCENDIO (TRABAJO EN CALIENTE)"/>
    <n v="0"/>
    <d v="2024-02-14T00:00:00"/>
    <x v="4"/>
    <s v="ESTUDIO"/>
    <n v="3"/>
    <s v="SSO"/>
    <s v="SSO MA DAND/Documentos operativos"/>
    <x v="1"/>
    <x v="0"/>
  </r>
  <r>
    <s v="FORMULARIO ESPACIO CONFINADO"/>
    <s v="-"/>
    <d v="2024-02-14T00:00:00"/>
    <x v="2"/>
    <s v="ESTUDIO"/>
    <s v="-"/>
    <s v="SSO"/>
    <s v="SSO MA DAND/Espacios confinados"/>
    <x v="1"/>
    <x v="0"/>
  </r>
  <r>
    <s v="PROCEDIMIENTO - SIGO CODELCO TRABAJOS EN ESPACIOS CONFINADOS"/>
    <n v="2"/>
    <d v="2024-02-14T00:00:00"/>
    <x v="7"/>
    <s v="ESTUDIO"/>
    <n v="33"/>
    <s v="SSO"/>
    <s v="SSO MA DAND/Espacios confinados"/>
    <x v="1"/>
    <x v="0"/>
  </r>
  <r>
    <s v="FORMATO EVITA FINAL"/>
    <s v="-"/>
    <d v="2024-02-14T00:00:00"/>
    <x v="18"/>
    <s v="ESTUDIO"/>
    <n v="38"/>
    <s v="SSO"/>
    <s v="SSO MA DAND/Gestion de incidentes+ Formatos"/>
    <x v="1"/>
    <x v="0"/>
  </r>
  <r>
    <s v="2022 FORMATO RDP 3 PASOS FINAL"/>
    <s v="-"/>
    <d v="2024-02-14T00:00:00"/>
    <x v="18"/>
    <s v="ESTUDIO"/>
    <n v="6"/>
    <s v="SSO"/>
    <s v="SSO MA DAND/Gestion de incidentes+ Formatos"/>
    <x v="1"/>
    <x v="0"/>
  </r>
  <r>
    <s v="2022 FORMATO RDP 8 PASOS FINAL"/>
    <s v="-"/>
    <d v="2024-02-14T00:00:00"/>
    <x v="18"/>
    <s v="ESTUDIO"/>
    <n v="6"/>
    <s v="SSO"/>
    <s v="SSO MA DAND/Gestion de incidentes+ Formatos"/>
    <x v="1"/>
    <x v="0"/>
  </r>
  <r>
    <s v="FLASH CORPORATIVO DE SEGURIDAD "/>
    <s v="-"/>
    <d v="2024-02-14T00:00:00"/>
    <x v="18"/>
    <s v="ESTUDIO"/>
    <s v="-"/>
    <s v="SSO"/>
    <s v="SSO MA DAND/Gestion de incidentes+ Formatos"/>
    <x v="1"/>
    <x v="0"/>
  </r>
  <r>
    <s v="INFORME FLASH DE INCIDENTE"/>
    <s v="-"/>
    <d v="2024-02-14T00:00:00"/>
    <x v="23"/>
    <s v="ESTUDIO"/>
    <n v="1"/>
    <s v="SSO"/>
    <s v="SSO MA DAND/Gestion de incidentes+ Formatos"/>
    <x v="1"/>
    <x v="0"/>
  </r>
  <r>
    <s v="-"/>
    <m/>
    <d v="2024-02-14T00:00:00"/>
    <x v="20"/>
    <s v="DAÑADO"/>
    <s v="-"/>
    <s v="-"/>
    <s v="SSO MA DAND/Gestion de incidentes+ Formatos"/>
    <x v="1"/>
    <x v="0"/>
  </r>
  <r>
    <s v="-"/>
    <m/>
    <d v="2024-02-14T00:00:00"/>
    <x v="20"/>
    <s v="DAÑADO"/>
    <s v="-"/>
    <s v="-"/>
    <s v="SSO MA DAND/Gestion de incidentes+ Formatos"/>
    <x v="1"/>
    <x v="0"/>
  </r>
  <r>
    <s v="PROCEDIMIENTO ESTRUCTURAL SIGO CODELCO GESTION DE INCIDENTES"/>
    <n v="5"/>
    <d v="2024-02-14T00:00:00"/>
    <x v="7"/>
    <s v="ESTUDIO"/>
    <n v="20"/>
    <s v="SSO"/>
    <s v="SSO MA DAND/Gestion de incidentes+ Formatos"/>
    <x v="1"/>
    <x v="0"/>
  </r>
  <r>
    <s v="SISTEMA DE GESTION PARA LA SEGURIDAD, SALUD EN EL TRABAJO Y RIESGOS OPERACIONALES"/>
    <s v="-"/>
    <d v="2024-02-14T00:00:00"/>
    <x v="24"/>
    <s v="ESTUDIO"/>
    <n v="27"/>
    <s v="SSO"/>
    <s v="SSO MA DAND/Manual del SSGT y Proc estructurales"/>
    <x v="1"/>
    <x v="0"/>
  </r>
  <r>
    <s v="MANUAL PARA LA ADMINISTRACION DE LA SEGURIDAD Y SALUD OCUPACIONAL"/>
    <s v="-"/>
    <d v="2024-02-14T00:00:00"/>
    <x v="24"/>
    <s v="ESTUDIO"/>
    <n v="28"/>
    <s v="SSO"/>
    <s v="SSO MA DAND/Manual del SSGT y Proc estructurales"/>
    <x v="1"/>
    <x v="0"/>
  </r>
  <r>
    <s v="MANUAL DE GESTION PARA CONTROLES CRITICOS SSO"/>
    <n v="12"/>
    <d v="2024-02-14T00:00:00"/>
    <x v="24"/>
    <s v="ESTUDIO"/>
    <n v="40"/>
    <s v="SSO"/>
    <s v="SSO MA DAND/Manual del SSGT y Proc estructurales"/>
    <x v="1"/>
    <x v="0"/>
  </r>
  <r>
    <s v="GUIA DE IMPLEMENTACION RESSO-CODELCO"/>
    <s v="-"/>
    <d v="2024-02-14T00:00:00"/>
    <x v="21"/>
    <s v="ESTUDIO"/>
    <n v="66"/>
    <s v="SSO"/>
    <s v="SSO MA DAND/Politicas/2 y 3.- RESSO -RESEC"/>
    <x v="1"/>
    <x v="0"/>
  </r>
  <r>
    <s v="LISTA VERIFICACION RESSO V"/>
    <n v="7"/>
    <d v="2024-02-14T00:00:00"/>
    <x v="2"/>
    <s v="ESTUDIO"/>
    <s v="-"/>
    <s v="SSO"/>
    <s v="SSO MA DAND/Politicas/2 y 3.- RESSO -RESEC"/>
    <x v="1"/>
    <x v="0"/>
  </r>
  <r>
    <s v="NOTA INTERNA GSSO-DSEG-002-2023"/>
    <s v="-"/>
    <d v="2024-02-14T00:00:00"/>
    <x v="26"/>
    <s v="ESTUDIO"/>
    <n v="1"/>
    <s v="GENERAL"/>
    <s v="SSO MA DAND/Politicas/2 y 3.- RESSO -RESEC"/>
    <x v="1"/>
    <x v="0"/>
  </r>
  <r>
    <s v="ACTUALIZACION RESSO (DIC 2022)"/>
    <s v="-"/>
    <d v="2024-02-14T00:00:00"/>
    <x v="18"/>
    <s v="ESTUDIO"/>
    <n v="19"/>
    <s v="SSO"/>
    <s v="SSO MA DAND/Politicas/2 y 3.- RESSO -RESEC"/>
    <x v="1"/>
    <x v="0"/>
  </r>
  <r>
    <s v="PROCEDIMIENTO DE SEGURIDAD Y SALUD OCUPACIONAL APLICABLE A LAS EMPRESAS CONTRATISTAS  &quot;RESEC DE SEGURIDAD Y SALUD EN EL TRABAJO”"/>
    <n v="9"/>
    <d v="2024-02-14T00:00:00"/>
    <x v="7"/>
    <s v="ESTUDIO"/>
    <n v="12"/>
    <s v="SSO"/>
    <s v="SSO MA DAND/Politicas/2 y 3.- RESSO -RESEC"/>
    <x v="1"/>
    <x v="0"/>
  </r>
  <r>
    <s v="REGLAMENTO ESPECIAL DE SEGURIDAD Y SALUD OCUPACIONAL"/>
    <n v="8"/>
    <d v="2024-02-14T00:00:00"/>
    <x v="19"/>
    <s v="OBSOLETO"/>
    <n v="63"/>
    <s v="SSO"/>
    <s v="SSO MA DAND/Politicas/2 y 3.- RESSO -RESEC"/>
    <x v="1"/>
    <x v="0"/>
  </r>
  <r>
    <s v="SISTEMA DE GESTION PARA LA SEGURIDAD, SALUD EN EL TRABAJO Y RIESGOS OPERACIONALES"/>
    <s v="-"/>
    <d v="2024-02-14T00:00:00"/>
    <x v="24"/>
    <s v="ESTUDIO"/>
    <n v="27"/>
    <s v="SSO"/>
    <s v="SSO MA DAND/Politicas/4.- Manual del SSGT y Proc estructurales"/>
    <x v="1"/>
    <x v="0"/>
  </r>
  <r>
    <s v="MANUAL PARA LA ADMINISTRACION DE LA SEGURIDAD Y SALUD OCUPACIONAL"/>
    <s v="-"/>
    <d v="2024-02-14T00:00:00"/>
    <x v="24"/>
    <s v="ESTUDIO"/>
    <n v="28"/>
    <s v="SSO"/>
    <s v="SSO MA DAND/Politicas/4.- Manual del SSGT y Proc estructurales"/>
    <x v="1"/>
    <x v="0"/>
  </r>
  <r>
    <s v="MANUAL DE GESTION PARA CONTROLES CRITICOS SSO"/>
    <n v="12"/>
    <d v="2024-02-14T00:00:00"/>
    <x v="24"/>
    <s v="ESTUDIO"/>
    <n v="40"/>
    <s v="SSO"/>
    <s v="SSO MA DAND/Politicas/4.- Manual del SSGT y Proc estructurales"/>
    <x v="1"/>
    <x v="0"/>
  </r>
  <r>
    <s v="GUIA ECF FORMULARIOS (MUCHOS)"/>
    <s v="-"/>
    <d v="2024-02-14T00:00:00"/>
    <x v="20"/>
    <s v="ESTUDIO"/>
    <s v="-"/>
    <s v="GENERAL"/>
    <s v="SSO MA DAND/Politicas/5.- Guia ECF- Formularios autoev"/>
    <x v="1"/>
    <x v="0"/>
  </r>
  <r>
    <s v="GUIA EST+FORMULARIOS (MUCHOS)"/>
    <s v="-"/>
    <d v="2024-02-14T00:00:00"/>
    <x v="20"/>
    <s v="ESTUDIO"/>
    <s v="-"/>
    <s v="GENERAL"/>
    <s v="SSO MA DAND/Politicas/6.- Guias EST+Formularios"/>
    <x v="1"/>
    <x v="0"/>
  </r>
  <r>
    <s v="ESTANDAR DE APRENDIZAJE(MUCHOS)"/>
    <s v="-"/>
    <d v="2024-02-14T00:00:00"/>
    <x v="20"/>
    <s v="ESTUDIO"/>
    <s v="-"/>
    <s v="GENERAL"/>
    <s v="SSO MA DAND/Politicas/9.-Estandar de aprendizaje"/>
    <x v="1"/>
    <x v="0"/>
  </r>
  <r>
    <s v="PREPARACIÓN Y RESPUESTA ANTE EMERGENCIAS DIVISION ANDINA"/>
    <n v="5"/>
    <d v="2024-02-14T00:00:00"/>
    <x v="7"/>
    <s v="ESTUDIO"/>
    <n v="51"/>
    <s v="SSO"/>
    <s v="SSO MA DAND/Reglamentos especificos"/>
    <x v="1"/>
    <x v="0"/>
  </r>
  <r>
    <s v="REGLAMENTO INTERNO DE TRANSPORTE Y CONDUCCION"/>
    <n v="4"/>
    <d v="2024-02-14T00:00:00"/>
    <x v="19"/>
    <s v="ESTUDIO"/>
    <n v="20"/>
    <s v="SSO"/>
    <s v="SSO MA DAND/Reglamentos especificos"/>
    <x v="1"/>
    <x v="0"/>
  </r>
  <r>
    <s v="REGLAMENTO INTERNO DE SEGURIDAD ELÉCTRICA 2022"/>
    <n v="7"/>
    <d v="2024-02-14T00:00:00"/>
    <x v="19"/>
    <s v="ESTUDIO"/>
    <n v="49"/>
    <s v="SSO"/>
    <s v="SSO MA DAND/Reglamentos especificos"/>
    <x v="1"/>
    <x v="0"/>
  </r>
  <r>
    <s v="RESOLUCIÓN EXENTA N° 460/2020"/>
    <s v="-"/>
    <d v="2024-02-14T00:00:00"/>
    <x v="27"/>
    <s v="ESTUDIO"/>
    <n v="3"/>
    <s v="LEGAL"/>
    <s v="SSO MA DAND/Reglamentos especificos"/>
    <x v="1"/>
    <x v="0"/>
  </r>
  <r>
    <s v="RESOLUCIÓN EXENTA N° 461/2020"/>
    <s v="-"/>
    <d v="2024-02-14T00:00:00"/>
    <x v="27"/>
    <s v="ESTUDIO"/>
    <n v="3"/>
    <s v="LEGAL"/>
    <s v="SSO MA DAND/Reglamentos especificos"/>
    <x v="1"/>
    <x v="0"/>
  </r>
  <r>
    <s v="RESOLUCIÓN EXENTA N° 462/2020"/>
    <s v="-"/>
    <d v="2024-02-14T00:00:00"/>
    <x v="27"/>
    <s v="ESTUDIO"/>
    <n v="3"/>
    <s v="LEGAL"/>
    <s v="SSO MA DAND/Reglamentos especificos"/>
    <x v="1"/>
    <x v="0"/>
  </r>
  <r>
    <s v="PROCEDIMEINTO DE RESPUESTAS A EMERGENCIAS GERENCIA PLANTAS"/>
    <n v="4"/>
    <d v="2024-02-14T00:00:00"/>
    <x v="7"/>
    <s v="ESTUDIO"/>
    <n v="37"/>
    <s v="SSO"/>
    <s v="SSO MA DAND/Reglamentos especificos"/>
    <x v="1"/>
    <x v="0"/>
  </r>
  <r>
    <s v="PROCEDIMIENTO DE EMERGENCIAS MINA RAJO ABIERTO"/>
    <n v="6"/>
    <d v="2024-02-14T00:00:00"/>
    <x v="7"/>
    <s v="ESTUDIO"/>
    <n v="18"/>
    <s v="SSO"/>
    <s v="SSO MA DAND/Reglamentos especificos"/>
    <x v="1"/>
    <x v="0"/>
  </r>
  <r>
    <s v="PROCEDIMIENTO DE RESPUESTAS ANTE EMERGENCIAS PROCESO RELAVES Y TRANSPORTE DE CONCENTRADO - AREA CORDILLERA"/>
    <n v="2"/>
    <d v="2024-02-14T00:00:00"/>
    <x v="7"/>
    <s v="ESTUDIO"/>
    <n v="23"/>
    <s v="SSO"/>
    <s v="SSO MA DAND/Reglamentos especificos"/>
    <x v="1"/>
    <x v="0"/>
  </r>
  <r>
    <s v="REGLAMENTO ELECTRICO CORPORATIVO"/>
    <n v="1"/>
    <d v="2024-02-14T00:00:00"/>
    <x v="19"/>
    <s v="ESTUDIO"/>
    <n v="13"/>
    <s v="SSO"/>
    <s v="SSO MA DAND/Reglamentos especificos"/>
    <x v="1"/>
    <x v="0"/>
  </r>
  <r>
    <s v="REGLAMENTO SIGO CODELCO - REQUISITOS Y ESTANDARES DE PRODUCTOS QUIMICOS EN FAENAS Y PROYECTOS DE CODELCO"/>
    <n v="0"/>
    <d v="2024-02-14T00:00:00"/>
    <x v="19"/>
    <s v="ESTUDIO"/>
    <n v="37"/>
    <s v="SSO"/>
    <s v="SSO MA DAND/Reglamentos especificos"/>
    <x v="1"/>
    <x v="0"/>
  </r>
  <r>
    <s v="BLOQUEO DE FUENTES DE ENERGÍAS GERENCIA DE PLANTAS"/>
    <n v="4"/>
    <d v="2024-02-14T00:00:00"/>
    <x v="19"/>
    <s v="ESTUDIO"/>
    <n v="32"/>
    <s v="SSO"/>
    <s v="SSO MA DAND/Reglamentos especificos"/>
    <x v="1"/>
    <x v="0"/>
  </r>
  <r>
    <s v="PREPARACIÓN Y RESPUESTA ANTE EMERGENCIAS EN DIVISION ANDINA"/>
    <n v="4"/>
    <d v="2024-02-14T00:00:00"/>
    <x v="19"/>
    <s v="ESTUDIO"/>
    <n v="46"/>
    <s v="SSO"/>
    <s v="SSO MA DAND/Reglamentos especificos"/>
    <x v="1"/>
    <x v="0"/>
  </r>
  <r>
    <s v="-"/>
    <m/>
    <d v="2024-02-14T00:00:00"/>
    <x v="20"/>
    <s v="DAÑADO"/>
    <s v="-"/>
    <s v="-"/>
    <s v="SSO MA DAND/Reglamentos especificos"/>
    <x v="1"/>
    <x v="0"/>
  </r>
  <r>
    <s v="REGLAMENTO RIESGOS NATURALES"/>
    <n v="7"/>
    <d v="2024-02-14T00:00:00"/>
    <x v="19"/>
    <s v="ESTUDIO"/>
    <n v="38"/>
    <s v="SSO"/>
    <s v="SSO MA DAND/Reglamentos especificos"/>
    <x v="1"/>
    <x v="0"/>
  </r>
  <r>
    <s v="-"/>
    <m/>
    <d v="2024-02-14T00:00:00"/>
    <x v="20"/>
    <s v="DAÑADO"/>
    <s v="-"/>
    <s v="-"/>
    <s v="SSO MA DAND/Reglamentos especificos"/>
    <x v="1"/>
    <x v="0"/>
  </r>
  <r>
    <s v="REGLAMENTO EQUIPO DE APOYO MINA RAJO"/>
    <n v="3"/>
    <d v="2024-02-14T00:00:00"/>
    <x v="19"/>
    <s v="ESTUDIO"/>
    <n v="13"/>
    <s v="SSO"/>
    <s v="SSO MA DAND/Reglamentos especificos"/>
    <x v="1"/>
    <x v="0"/>
  </r>
  <r>
    <s v="REGLAMENTO CARGUIO Y TRANSPORTE MINA RAJO"/>
    <n v="3"/>
    <d v="2024-02-14T00:00:00"/>
    <x v="19"/>
    <s v="ESTUDIO"/>
    <n v="17"/>
    <s v="SSO"/>
    <s v="SSO MA DAND/Reglamentos especificos"/>
    <x v="1"/>
    <x v="0"/>
  </r>
  <r>
    <s v="REGLAMENTO EQUIPO DE APOYO MINA RAJO"/>
    <n v="3"/>
    <d v="2024-02-14T00:00:00"/>
    <x v="19"/>
    <s v="ESTUDIO"/>
    <n v="13"/>
    <s v="SSO"/>
    <s v="SSO MA DAND/Reglamentos especificos"/>
    <x v="1"/>
    <x v="0"/>
  </r>
  <r>
    <s v="REGLAMENTO TRÁNSITO DE VEHICULOS Y PERSONAS EN MINA RAJO"/>
    <n v="3"/>
    <d v="2024-02-14T00:00:00"/>
    <x v="19"/>
    <s v="ESTUDIO"/>
    <n v="14"/>
    <s v="SSO"/>
    <s v="SSO MA DAND/Reglamentos especificos"/>
    <x v="1"/>
    <x v="0"/>
  </r>
  <r>
    <s v="-"/>
    <m/>
    <d v="2024-02-14T00:00:00"/>
    <x v="20"/>
    <s v="DAÑADO"/>
    <s v="-"/>
    <s v="-"/>
    <s v="SSO MA DAND/Reglamentos especificos"/>
    <x v="1"/>
    <x v="0"/>
  </r>
  <r>
    <s v="REGLAMENTO CONTROL DE INGRESO DE PERSONA Y VEHÍCULOS A MINA SUBTERRANEA"/>
    <n v="0"/>
    <d v="2024-02-14T00:00:00"/>
    <x v="19"/>
    <s v="ESTUDIO"/>
    <n v="19"/>
    <s v="SSO"/>
    <s v="SSO MA DAND/Reglamentos especificos"/>
    <x v="1"/>
    <x v="0"/>
  </r>
  <r>
    <s v="REGLAMENTO EMERGENCIA EN MINA SUBTERRANEA"/>
    <n v="4"/>
    <d v="2024-02-14T00:00:00"/>
    <x v="19"/>
    <s v="ESTUDIO"/>
    <n v="23"/>
    <s v="SSO"/>
    <s v="SSO MA DAND/Reglamentos especificos"/>
    <x v="1"/>
    <x v="0"/>
  </r>
  <r>
    <m/>
    <m/>
    <m/>
    <x v="0"/>
    <m/>
    <m/>
    <m/>
    <m/>
    <x v="0"/>
    <x v="0"/>
  </r>
  <r>
    <s v="CORREO RESPALDO - FWD_ CONFIRMACIÓN  REUNIÓN INFORMATIVA _ DOC1002164805 _  MONTAJE ESPESADOR DE CABEZA PMFC -DAND"/>
    <s v="-"/>
    <d v="2024-02-19T00:00:00"/>
    <x v="1"/>
    <s v="ESTUDIO"/>
    <s v="-"/>
    <s v="GENERAL"/>
    <m/>
    <x v="1"/>
    <x v="0"/>
  </r>
  <r>
    <s v="CORREO RESPALDO - RV_ CONFIRMACIÓN  REUNIÓN INFORMATIVA _ DOC1002164805 _  MONTAJE ESPESADOR DE CABEZA PMFC -DAND"/>
    <s v="-"/>
    <d v="2024-02-19T00:00:00"/>
    <x v="1"/>
    <s v="ESTUDIO"/>
    <s v="-"/>
    <s v="GENERAL"/>
    <m/>
    <x v="1"/>
    <x v="0"/>
  </r>
  <r>
    <m/>
    <m/>
    <m/>
    <x v="0"/>
    <m/>
    <m/>
    <m/>
    <m/>
    <x v="0"/>
    <x v="0"/>
  </r>
  <r>
    <s v="CORREO RESPALDO - RV RECORDATORIO REUNIÓN EXPLICATIVA"/>
    <s v="-"/>
    <d v="2024-02-21T00:00:00"/>
    <x v="1"/>
    <s v="ESTUDIO"/>
    <s v="-"/>
    <s v="GENERAL"/>
    <m/>
    <x v="1"/>
    <x v="0"/>
  </r>
  <r>
    <m/>
    <m/>
    <m/>
    <x v="0"/>
    <m/>
    <m/>
    <m/>
    <m/>
    <x v="0"/>
    <x v="0"/>
  </r>
  <r>
    <s v="CORREO RESPALDO - RV PPT REUNIÓN EXPLICATIVA  DOC1002164805  MONTAJE ESPESADOR DE CABEZA PMFC -DAND"/>
    <s v="-"/>
    <d v="2024-02-22T00:00:00"/>
    <x v="1"/>
    <s v="ESTUDIO"/>
    <s v="-"/>
    <s v="GENERAL"/>
    <m/>
    <x v="1"/>
    <x v="0"/>
  </r>
  <r>
    <s v="REUNION EXPLICATIVA &quot;MONTAJE ESPESADOR DE CABEZA, PMFC&quot;"/>
    <s v="-"/>
    <d v="2024-02-22T00:00:00"/>
    <x v="18"/>
    <s v="ESTUDIO"/>
    <n v="16"/>
    <s v="GENERAL"/>
    <m/>
    <x v="1"/>
    <x v="0"/>
  </r>
  <r>
    <m/>
    <m/>
    <m/>
    <x v="0"/>
    <m/>
    <m/>
    <m/>
    <m/>
    <x v="0"/>
    <x v="0"/>
  </r>
  <r>
    <s v="CORREO RESPALDO - RV DOCUMENOS FALTANTES  DOC1002164805  MONTAJE ESPESADOR DE CABEZA PMFC -DAND"/>
    <s v="-"/>
    <d v="2024-02-23T00:00:00"/>
    <x v="1"/>
    <s v="ESTUDIO"/>
    <s v="-"/>
    <s v="GENERAL"/>
    <m/>
    <x v="1"/>
    <x v="0"/>
  </r>
  <r>
    <s v="DIAGRAMA UNILINEAL TABLERO 03350-TDI-001"/>
    <n v="2"/>
    <d v="2024-02-23T00:00:00"/>
    <x v="10"/>
    <s v="ESTUDIO"/>
    <n v="1"/>
    <s v="AUTOMATIZACION"/>
    <s v="AT_01"/>
    <x v="2"/>
    <x v="19"/>
  </r>
  <r>
    <s v="DIAGRAMA UNILINEAL TABLERO 03350-TDI-002"/>
    <n v="2"/>
    <d v="2024-02-23T00:00:00"/>
    <x v="10"/>
    <s v="ESTUDIO"/>
    <n v="1"/>
    <s v="AUTOMATIZACION"/>
    <s v="AT_01"/>
    <x v="2"/>
    <x v="20"/>
  </r>
  <r>
    <s v="DIAGRAMA DE LAZO 03351-FIT-1057 / DIT-1058"/>
    <n v="0"/>
    <d v="2024-02-23T00:00:00"/>
    <x v="10"/>
    <s v="ESTUDIO"/>
    <n v="1"/>
    <s v="AUTOMATIZACION"/>
    <s v="AT_01"/>
    <x v="2"/>
    <x v="43"/>
  </r>
  <r>
    <s v="DIAGRAMA DE LAZO 03351-FIT-1067 / DIT-1068"/>
    <n v="0"/>
    <d v="2024-02-23T00:00:00"/>
    <x v="10"/>
    <s v="ESTUDIO"/>
    <n v="1"/>
    <s v="AUTOMATIZACION"/>
    <s v="AT_01"/>
    <x v="2"/>
    <x v="1"/>
  </r>
  <r>
    <s v="CUBICACIÓN DE MATERIALES DE INSTRUMENTACIÓN"/>
    <n v="0"/>
    <d v="2024-02-23T00:00:00"/>
    <x v="13"/>
    <s v="ESTUDIO"/>
    <n v="8"/>
    <s v="AUTOMATIZACION"/>
    <s v="AT_01"/>
    <x v="2"/>
    <x v="45"/>
  </r>
  <r>
    <s v="ESPECIFICACIÓN TÉCNICA EQUIPOS DE CONTROL"/>
    <n v="1"/>
    <d v="2024-02-23T00:00:00"/>
    <x v="11"/>
    <s v="ESTUDIO"/>
    <n v="27"/>
    <s v="AUTOMATIZACION"/>
    <s v="AT_01"/>
    <x v="2"/>
    <x v="47"/>
  </r>
  <r>
    <s v="DETALLES SOPORTES"/>
    <s v="B"/>
    <d v="2024-02-23T00:00:00"/>
    <x v="10"/>
    <s v="ESTUDIO"/>
    <n v="1"/>
    <s v="CAÑERIAS"/>
    <s v="CA_01"/>
    <x v="2"/>
    <x v="97"/>
  </r>
  <r>
    <s v="LINEAS COLAS PRIMERA LIMPIEZA SECCIONES"/>
    <s v="B"/>
    <d v="2024-02-23T00:00:00"/>
    <x v="10"/>
    <s v="ESTUDIO"/>
    <n v="1"/>
    <s v="CAÑERIAS"/>
    <s v="CA_01"/>
    <x v="2"/>
    <x v="98"/>
  </r>
  <r>
    <s v="LÍNEAS DE CONCENTRADO CU-MO - DISPOSICIÓN GENERAL SECCIONES Y DETALLES (3 DE 3)"/>
    <s v="B"/>
    <d v="2024-02-23T00:00:00"/>
    <x v="10"/>
    <s v="ESTUDIO"/>
    <n v="1"/>
    <s v="CAÑERIAS"/>
    <s v="CA_01"/>
    <x v="2"/>
    <x v="99"/>
  </r>
  <r>
    <s v="KEY PLAN PLANTA"/>
    <s v="B"/>
    <d v="2024-02-23T00:00:00"/>
    <x v="10"/>
    <s v="ESTUDIO"/>
    <n v="1"/>
    <s v="CAÑERIAS"/>
    <s v="CA_01"/>
    <x v="2"/>
    <x v="100"/>
  </r>
  <r>
    <s v="DISPOSICION GENERAL (1 DE 2) PLANTA"/>
    <s v="B"/>
    <d v="2024-02-23T00:00:00"/>
    <x v="10"/>
    <s v="ESTUDIO"/>
    <n v="1"/>
    <s v="CAÑERIAS"/>
    <s v="CA_01"/>
    <x v="2"/>
    <x v="101"/>
  </r>
  <r>
    <s v="DISPOSICION GENERAL (2 DE 2) PLANTA"/>
    <s v="B"/>
    <d v="2024-02-23T00:00:00"/>
    <x v="10"/>
    <s v="ESTUDIO"/>
    <n v="1"/>
    <s v="CAÑERIAS"/>
    <s v="CA_01"/>
    <x v="2"/>
    <x v="102"/>
  </r>
  <r>
    <s v="AIRE DE INSTRUMENTACIÓN - DISPOSICIÓN GENERAL PLANTA"/>
    <s v="B"/>
    <d v="2024-02-23T00:00:00"/>
    <x v="10"/>
    <s v="ESTUDIO"/>
    <n v="1"/>
    <s v="CAÑERIAS"/>
    <s v="CA_01"/>
    <x v="2"/>
    <x v="103"/>
  </r>
  <r>
    <s v="AIRE DE INSTRUMENTACIÓN - DISPOSICIÓN GENERAL SECCIONES"/>
    <s v="B"/>
    <d v="2024-02-23T00:00:00"/>
    <x v="10"/>
    <s v="ESTUDIO"/>
    <n v="1"/>
    <s v="CAÑERIAS"/>
    <s v="CA_01"/>
    <x v="2"/>
    <x v="104"/>
  </r>
  <r>
    <s v="AGUA DE SELLO - DISPOSICIÓN GENERAL PLANTA"/>
    <s v="B"/>
    <d v="2024-02-23T00:00:00"/>
    <x v="10"/>
    <s v="ESTUDIO"/>
    <n v="1"/>
    <s v="CAÑERIAS"/>
    <s v="CA_01"/>
    <x v="2"/>
    <x v="105"/>
  </r>
  <r>
    <s v="AGUA DE SELLO - DISPOSICIÓN GENERAL SECCIONES Y DETALLES"/>
    <s v="B"/>
    <d v="2024-02-23T00:00:00"/>
    <x v="10"/>
    <s v="ESTUDIO"/>
    <n v="1"/>
    <s v="CAÑERIAS"/>
    <s v="CA_01"/>
    <x v="2"/>
    <x v="106"/>
  </r>
  <r>
    <s v="AGUA DE PROCESO - DISPOSICIÓN GENERAL PLANTA"/>
    <s v="B"/>
    <d v="2024-02-23T00:00:00"/>
    <x v="10"/>
    <s v="ESTUDIO"/>
    <n v="1"/>
    <s v="CAÑERIAS"/>
    <s v="CA_01"/>
    <x v="2"/>
    <x v="107"/>
  </r>
  <r>
    <s v="AGUA RECUPERADA - DISPOSICIÓN GENERAL PLANTA"/>
    <s v="B"/>
    <d v="2024-02-23T00:00:00"/>
    <x v="10"/>
    <s v="ESTUDIO"/>
    <n v="1"/>
    <s v="CAÑERIAS"/>
    <s v="CA_01"/>
    <x v="2"/>
    <x v="108"/>
  </r>
  <r>
    <s v="CONCENTRADO CU-MO - DISPOSICIÓN GENERAL (2 DE 2) PLANTA"/>
    <s v="B"/>
    <d v="2024-02-23T00:00:00"/>
    <x v="10"/>
    <s v="ESTUDIO"/>
    <n v="1"/>
    <s v="CAÑERIAS"/>
    <s v="CA_01"/>
    <x v="2"/>
    <x v="109"/>
  </r>
  <r>
    <s v="TIE-IN 001 CONCENTRADO COLECTIVO ALTERNATIVA N°2 Y TIE-IN 003 AGUA DE PROCESO - PLANTA, DET. Y SEC."/>
    <n v="1"/>
    <d v="2024-02-23T00:00:00"/>
    <x v="10"/>
    <s v="ESTUDIO"/>
    <n v="1"/>
    <s v="CAÑERIAS"/>
    <s v="CA_01"/>
    <x v="2"/>
    <x v="76"/>
  </r>
  <r>
    <s v="INFORME DE PAQUETIZACIÓN AWP"/>
    <n v="0"/>
    <d v="2024-02-23T00:00:00"/>
    <x v="5"/>
    <s v="ESTUDIO"/>
    <n v="12"/>
    <s v="GENERAL"/>
    <s v="CB_01"/>
    <x v="2"/>
    <x v="110"/>
  </r>
  <r>
    <s v="DISPOSICIÓN GENERAL PLANTA- INFRAESTRUCTURA NO CRITICA UBICACIÓN DEFINITIVA"/>
    <n v="3"/>
    <d v="2024-02-23T00:00:00"/>
    <x v="10"/>
    <s v="ESTUDIO"/>
    <n v="1"/>
    <s v="CIVIL"/>
    <s v="CI_01"/>
    <x v="2"/>
    <x v="111"/>
  </r>
  <r>
    <s v="DISPOSICIÓN GENERAL PLANTA- INFRAESTRUCTURA NO CRITICA UBICACIÓN TRANSITORIA"/>
    <n v="1"/>
    <d v="2024-02-23T00:00:00"/>
    <x v="10"/>
    <s v="ESTUDIO"/>
    <n v="1"/>
    <s v="CIVIL"/>
    <s v="CI_01"/>
    <x v="2"/>
    <x v="112"/>
  </r>
  <r>
    <s v="CAMINOS Y PLATAFORMAS DISPOSICIÓN GENERAL"/>
    <n v="1"/>
    <d v="2024-02-23T00:00:00"/>
    <x v="10"/>
    <s v="ESTUDIO"/>
    <n v="1"/>
    <s v="CIVIL"/>
    <s v="CI_01"/>
    <x v="2"/>
    <x v="113"/>
  </r>
  <r>
    <s v="CAMINO ACCESO A ESPESADOR EJE 1 PLANTA, PERFIL Y SECCIONES"/>
    <n v="2"/>
    <d v="2024-02-23T00:00:00"/>
    <x v="10"/>
    <s v="ESTUDIO"/>
    <n v="1"/>
    <s v="CIVIL"/>
    <s v="CI_01"/>
    <x v="2"/>
    <x v="114"/>
  </r>
  <r>
    <s v="EJES 1A Y 1B PERFIL Y SECCIONES"/>
    <n v="2"/>
    <d v="2024-02-23T00:00:00"/>
    <x v="10"/>
    <s v="ESTUDIO"/>
    <n v="1"/>
    <s v="CIVIL"/>
    <s v="CI_01"/>
    <x v="2"/>
    <x v="115"/>
  </r>
  <r>
    <s v="CAMINO BY-PASS CAMIONETAS - EJES 2 Y 2A PLANTA - PERFILES Y SECCIONES"/>
    <n v="2"/>
    <d v="2024-02-23T00:00:00"/>
    <x v="10"/>
    <s v="ESTUDIO"/>
    <n v="1"/>
    <s v="CIVIL"/>
    <s v="CI_01"/>
    <x v="2"/>
    <x v="116"/>
  </r>
  <r>
    <s v="CAMINO SUPERIOR - EJES 3, 1A Y 1B PLANTA - PERFIL Y SECCIONES"/>
    <n v="2"/>
    <d v="2024-02-23T00:00:00"/>
    <x v="10"/>
    <s v="ESTUDIO"/>
    <n v="1"/>
    <s v="CIVIL"/>
    <s v="CI_01"/>
    <x v="2"/>
    <x v="117"/>
  </r>
  <r>
    <s v="SALA ELÉCTRICA Y ESPESADOR PLANTA Y SECCIONES"/>
    <n v="2"/>
    <d v="2024-02-23T00:00:00"/>
    <x v="10"/>
    <s v="ESTUDIO"/>
    <n v="1"/>
    <s v="CIVIL"/>
    <s v="CI_01"/>
    <x v="2"/>
    <x v="118"/>
  </r>
  <r>
    <s v="DISPOSICIÓN GENERAL PLANTA Y SECCIONES"/>
    <n v="2"/>
    <d v="2024-02-23T00:00:00"/>
    <x v="10"/>
    <s v="ESTUDIO"/>
    <n v="1"/>
    <s v="CIVIL"/>
    <s v="CI_01"/>
    <x v="2"/>
    <x v="119"/>
  </r>
  <r>
    <s v="DISPOSICIÓN GENERAL PLANTA INSTALACIÓN DE FAENAS"/>
    <n v="1"/>
    <d v="2024-02-23T00:00:00"/>
    <x v="10"/>
    <s v="ESTUDIO"/>
    <n v="1"/>
    <s v="CIVIL"/>
    <s v="CI_01"/>
    <x v="2"/>
    <x v="120"/>
  </r>
  <r>
    <s v="PLANO EVACUACIÓN DE AGUAS LLUVIAS PLANTA, SECCIONES Y DETALLES"/>
    <n v="0"/>
    <d v="2024-02-23T00:00:00"/>
    <x v="10"/>
    <s v="ESTUDIO"/>
    <n v="1"/>
    <s v="CIVIL"/>
    <s v="CI_01"/>
    <x v="2"/>
    <x v="121"/>
  </r>
  <r>
    <s v="DISPOSICIÓN GENERAL PLANTA Y SECCIONES OBRAS PREVIAS UBICACIÓN DEFINITIVA"/>
    <s v="B"/>
    <d v="2024-02-23T00:00:00"/>
    <x v="10"/>
    <s v="ESTUDIO"/>
    <n v="1"/>
    <s v="CIVIL"/>
    <s v="CI_01"/>
    <x v="2"/>
    <x v="1"/>
  </r>
  <r>
    <s v="DISPOSICIÓN GENERAL PLANTA INFRAESTRUCTURA NO CRITICA UBICACIÓN DEFINITIVA"/>
    <n v="1"/>
    <d v="2024-02-23T00:00:00"/>
    <x v="10"/>
    <s v="ESTUDIO"/>
    <n v="1"/>
    <s v="CIVIL"/>
    <s v="CI_01"/>
    <x v="2"/>
    <x v="122"/>
  </r>
  <r>
    <s v="INFORME CONSOLIDADO MECÁNICA DE SUELOS"/>
    <n v="1"/>
    <d v="2024-02-23T00:00:00"/>
    <x v="5"/>
    <s v="ESTUDIO"/>
    <n v="34"/>
    <s v="CIVIL"/>
    <s v="CI_01"/>
    <x v="2"/>
    <x v="123"/>
  </r>
  <r>
    <s v="INFORME DE CUBICACIONES CIVIL"/>
    <n v="1"/>
    <d v="2024-02-23T00:00:00"/>
    <x v="13"/>
    <s v="ESTUDIO"/>
    <n v="9"/>
    <s v="CIVIL"/>
    <s v="CI_01"/>
    <x v="2"/>
    <x v="124"/>
  </r>
  <r>
    <s v="MEMORIA DE CÁLCULO EVACUACIÓN DE AGUAS LLUVIAS"/>
    <n v="0"/>
    <d v="2024-02-23T00:00:00"/>
    <x v="17"/>
    <s v="ESTUDIO"/>
    <n v="28"/>
    <s v="CIVIL"/>
    <s v="CI_01"/>
    <x v="2"/>
    <x v="125"/>
  </r>
  <r>
    <s v="PLANO DETALLES DE MONTAJE PUESTA A TIERRA"/>
    <n v="0"/>
    <d v="2024-02-23T00:00:00"/>
    <x v="10"/>
    <s v="ESTUDIO"/>
    <n v="1"/>
    <s v="ELECTRICO"/>
    <s v="EL_01"/>
    <x v="2"/>
    <x v="126"/>
  </r>
  <r>
    <s v="PLANO DETALLES DE MONTAJE CANALIZACIONES"/>
    <s v="B"/>
    <d v="2024-02-23T00:00:00"/>
    <x v="10"/>
    <s v="ESTUDIO"/>
    <n v="1"/>
    <s v="ELECTRICO"/>
    <s v="EL_01"/>
    <x v="2"/>
    <x v="127"/>
  </r>
  <r>
    <s v="PLANO DETALLES DE MONTAJE ALUMBRADO"/>
    <s v="B"/>
    <d v="2024-02-23T00:00:00"/>
    <x v="10"/>
    <s v="ESTUDIO"/>
    <n v="1"/>
    <s v="ELECTRICO"/>
    <s v="EL_01"/>
    <x v="2"/>
    <x v="128"/>
  </r>
  <r>
    <s v="PLANO DISPOSICIÓN EQUIPOS ELÉCTRICOS PLANTA ESPESADOR"/>
    <s v="B"/>
    <d v="2024-02-23T00:00:00"/>
    <x v="10"/>
    <s v="ESTUDIO"/>
    <n v="1"/>
    <s v="ELECTRICO"/>
    <s v="EL_01"/>
    <x v="2"/>
    <x v="129"/>
  </r>
  <r>
    <s v="PLANO DISPOSICIÓN EQUIPOS ELÉCTRICOS PUENTE ESPESADOR"/>
    <s v="B"/>
    <d v="2024-02-23T00:00:00"/>
    <x v="10"/>
    <s v="ESTUDIO"/>
    <n v="1"/>
    <s v="ELECTRICO"/>
    <s v="EL_01"/>
    <x v="2"/>
    <x v="130"/>
  </r>
  <r>
    <s v="PLANO DISPOSICIÓN EQUIPOS ELÉCTRICOS ESTRUCTURA"/>
    <s v="B"/>
    <d v="2024-02-23T00:00:00"/>
    <x v="10"/>
    <s v="ESTUDIO"/>
    <n v="1"/>
    <s v="ELECTRICO"/>
    <s v="EL_01"/>
    <x v="2"/>
    <x v="131"/>
  </r>
  <r>
    <s v="DISPOSICIÓN DE EQUIPOS ELÉCTRICOS SALA ELÉCTRICA 03350-SEL-001"/>
    <n v="0"/>
    <d v="2024-02-23T00:00:00"/>
    <x v="10"/>
    <s v="ESTUDIO"/>
    <n v="1"/>
    <s v="ELECTRICO"/>
    <s v="EL_01"/>
    <x v="2"/>
    <x v="132"/>
  </r>
  <r>
    <s v="UNILINEAL CCM BAJA TENSIÓN 03350-CCM-001"/>
    <n v="2"/>
    <d v="2024-02-23T00:00:00"/>
    <x v="10"/>
    <s v="ESTUDIO"/>
    <n v="1"/>
    <s v="ELECTRICO"/>
    <s v="EL_01"/>
    <x v="2"/>
    <x v="133"/>
  </r>
  <r>
    <s v="DIAGRAMA UNILINEAL TABLERO DE FUERZA Y ALUMBRADO"/>
    <n v="0"/>
    <d v="2024-02-23T00:00:00"/>
    <x v="10"/>
    <s v="ESTUDIO"/>
    <n v="1"/>
    <s v="ELECTRICO"/>
    <s v="EL_01"/>
    <x v="2"/>
    <x v="134"/>
  </r>
  <r>
    <s v="DIAGRAMA UNILINEAL TABLERO DE FUERZA Y ALUMBRADO"/>
    <n v="0"/>
    <d v="2024-02-23T00:00:00"/>
    <x v="10"/>
    <s v="ESTUDIO"/>
    <n v="1"/>
    <s v="ELECTRICO"/>
    <s v="EL_01"/>
    <x v="2"/>
    <x v="135"/>
  </r>
  <r>
    <s v="PLANO CANALIZACIÓN (DESDE GEN A CCM) PLANTA"/>
    <s v="B"/>
    <d v="2024-02-23T00:00:00"/>
    <x v="10"/>
    <s v="ESTUDIO"/>
    <n v="1"/>
    <s v="ELECTRICO"/>
    <s v="EL_01"/>
    <x v="2"/>
    <x v="136"/>
  </r>
  <r>
    <s v="PLANO CANALIZACIÓN SALA ELÉCTRICA"/>
    <s v="B"/>
    <d v="2024-02-23T00:00:00"/>
    <x v="10"/>
    <s v="ESTUDIO"/>
    <n v="1"/>
    <s v="ELECTRICO"/>
    <s v="EL_01"/>
    <x v="2"/>
    <x v="137"/>
  </r>
  <r>
    <s v="PLANO CANALIZACIÓN PLANTA ESPESADOR"/>
    <s v="B"/>
    <d v="2024-02-23T00:00:00"/>
    <x v="10"/>
    <s v="ESTUDIO"/>
    <n v="1"/>
    <s v="ELECTRICO"/>
    <s v="EL_01"/>
    <x v="2"/>
    <x v="138"/>
  </r>
  <r>
    <s v="PLANO DETALLES DE MONTAJE CAMARAS Y DUCTOS"/>
    <s v="B"/>
    <d v="2024-02-23T00:00:00"/>
    <x v="10"/>
    <s v="ESTUDIO"/>
    <n v="1"/>
    <s v="ELECTRICO"/>
    <s v="EL_01"/>
    <x v="2"/>
    <x v="139"/>
  </r>
  <r>
    <s v="PLANO PUESTA A TIERRA PLANTA ESPESADOR"/>
    <s v="B"/>
    <d v="2024-02-23T00:00:00"/>
    <x v="10"/>
    <s v="ESTUDIO"/>
    <n v="1"/>
    <s v="ELECTRICO"/>
    <s v="EL_01"/>
    <x v="2"/>
    <x v="1"/>
  </r>
  <r>
    <s v="PLANO DE CANALIZACIÓN ELÉCTRICA ALIMENTACIÓN TRANSFERENCIA DE RESIDUOS (DEFINITIVA)"/>
    <n v="0"/>
    <d v="2024-02-23T00:00:00"/>
    <x v="10"/>
    <s v="ESTUDIO"/>
    <n v="1"/>
    <s v="ELECTRICO"/>
    <s v="EL_01"/>
    <x v="2"/>
    <x v="1"/>
  </r>
  <r>
    <s v="PLANO DE CANALIZACIÓN ELÉCTRICA ALIMENTACIÓN CASA DE CAMBIO"/>
    <n v="0"/>
    <d v="2024-02-23T00:00:00"/>
    <x v="10"/>
    <s v="ESTUDIO"/>
    <n v="1"/>
    <s v="ELECTRICO"/>
    <s v="EL_01"/>
    <x v="2"/>
    <x v="1"/>
  </r>
  <r>
    <s v="PLANO DE CANALIZACIÓN ELÉCTRICA ALIMENTACIÓN BODEGA INDUSTRIAL"/>
    <n v="0"/>
    <d v="2024-02-23T00:00:00"/>
    <x v="10"/>
    <s v="ESTUDIO"/>
    <n v="1"/>
    <s v="ELECTRICO"/>
    <s v="EL_01"/>
    <x v="2"/>
    <x v="1"/>
  </r>
  <r>
    <s v="PLANO DE CANALIZACIÓN ELÉCTRICA ALIMENTACIÓN TRANSFERENCIA DE RESIDUOS (TRANSITORIA)"/>
    <n v="0"/>
    <d v="2024-02-23T00:00:00"/>
    <x v="10"/>
    <s v="ESTUDIO"/>
    <n v="1"/>
    <s v="ELECTRICO"/>
    <s v="EL_01"/>
    <x v="2"/>
    <x v="140"/>
  </r>
  <r>
    <s v="DIAGRAMA DE CONEXIONADO MOTOR BOMBA CENTRÍFUGA DESCARGA N°1 03351-BOC-001M"/>
    <n v="1"/>
    <d v="2024-02-23T00:00:00"/>
    <x v="10"/>
    <s v="ESTUDIO"/>
    <n v="1"/>
    <s v="ELECTRICO"/>
    <s v="EL_01"/>
    <x v="2"/>
    <x v="141"/>
  </r>
  <r>
    <s v="DIAGRAMA DE CONEXIONADO MOTOR BOMBA CENTRÍFUGA DESCARGA N°2 03351-BOC-002M"/>
    <n v="1"/>
    <d v="2024-02-23T00:00:00"/>
    <x v="10"/>
    <s v="ESTUDIO"/>
    <n v="1"/>
    <s v="ELECTRICO"/>
    <s v="EL_01"/>
    <x v="2"/>
    <x v="142"/>
  </r>
  <r>
    <s v="DIAGRAMA DE CONEXIONADO MOTOR BOMBA CENTRÍFUGA DESCARGA N°3 03351-BOC-003M"/>
    <n v="1"/>
    <d v="2024-02-23T00:00:00"/>
    <x v="10"/>
    <s v="ESTUDIO"/>
    <n v="1"/>
    <s v="ELECTRICO"/>
    <s v="EL_01"/>
    <x v="2"/>
    <x v="143"/>
  </r>
  <r>
    <s v="DIAGRAMA DE CONEXIONADO MOTOR BOMBA VERTICAL SUMIDERO 03351-BVT-001M"/>
    <n v="1"/>
    <d v="2024-02-23T00:00:00"/>
    <x v="10"/>
    <s v="ESTUDIO"/>
    <n v="1"/>
    <s v="ELECTRICO"/>
    <s v="EL_01"/>
    <x v="2"/>
    <x v="144"/>
  </r>
  <r>
    <s v="DIAGRAMA DE CONEXIONADO MOTOR BOMBA CENTRIFUGA AGUA SELLO 03351-BOC-004M"/>
    <n v="1"/>
    <d v="2024-02-23T00:00:00"/>
    <x v="10"/>
    <s v="ESTUDIO"/>
    <n v="1"/>
    <s v="ELECTRICO"/>
    <s v="EL_01"/>
    <x v="2"/>
    <x v="145"/>
  </r>
  <r>
    <s v="DIAGRAMA DE CONEXIONADO MOTOR BOMBA CENTRIFUGA AGUA SELLO 03351-BOC-005M"/>
    <n v="1"/>
    <d v="2024-02-23T00:00:00"/>
    <x v="10"/>
    <s v="ESTUDIO"/>
    <n v="1"/>
    <s v="ELECTRICO"/>
    <s v="EL_01"/>
    <x v="2"/>
    <x v="1"/>
  </r>
  <r>
    <s v="DIAGRAMA ELEMENTAL DE CONTROL MOTOR BOMBA CENTRÍFUGA DESCARGA N°1 03351-BOC-001M"/>
    <n v="1"/>
    <d v="2024-02-23T00:00:00"/>
    <x v="10"/>
    <s v="ESTUDIO"/>
    <n v="1"/>
    <s v="ELECTRICO"/>
    <s v="EL_01"/>
    <x v="2"/>
    <x v="146"/>
  </r>
  <r>
    <s v="DIAGRAMA ELEMENTAL DE CONTROL MOTOR BOMBA CENTRÍFUGA DESCARGA N°2 03351-BOC-002M"/>
    <n v="1"/>
    <d v="2024-02-23T00:00:00"/>
    <x v="10"/>
    <s v="ESTUDIO"/>
    <n v="1"/>
    <s v="ELECTRICO"/>
    <s v="EL_01"/>
    <x v="2"/>
    <x v="147"/>
  </r>
  <r>
    <s v="DIAGRAMA ELEMENTAL DE CONTROL MOTOR BOMBA CENTRÍFUGA DESCARGA N°3 03351-BOC-003M"/>
    <n v="1"/>
    <d v="2024-02-23T00:00:00"/>
    <x v="10"/>
    <s v="ESTUDIO"/>
    <n v="1"/>
    <s v="ELECTRICO"/>
    <s v="EL_01"/>
    <x v="2"/>
    <x v="148"/>
  </r>
  <r>
    <s v="DIAGRAMA ELEMENTAL DE CONTROL MOTOR BOMBA VERTICAL SUMIDERO 03351-BVT-001M"/>
    <n v="1"/>
    <d v="2024-02-23T00:00:00"/>
    <x v="10"/>
    <s v="ESTUDIO"/>
    <n v="1"/>
    <s v="ELECTRICO"/>
    <s v="EL_01"/>
    <x v="2"/>
    <x v="149"/>
  </r>
  <r>
    <s v="DIAGRAMA ELEMENTAL DE CONTROL MOTOR BOMBA CENTRIFUGA AGUA SELLO 03351-BOC-004M"/>
    <n v="1"/>
    <d v="2024-02-23T00:00:00"/>
    <x v="10"/>
    <s v="ESTUDIO"/>
    <n v="1"/>
    <s v="ELECTRICO"/>
    <s v="EL_01"/>
    <x v="2"/>
    <x v="150"/>
  </r>
  <r>
    <s v="DIAGRAMA ELEMENTAL DE CONTROL MOTOR BOMBA CENTRIFUGA AGUA SELLO 03351-BOC-005M"/>
    <n v="1"/>
    <d v="2024-02-23T00:00:00"/>
    <x v="10"/>
    <s v="ESTUDIO"/>
    <n v="1"/>
    <s v="ELECTRICO"/>
    <s v="EL_01"/>
    <x v="2"/>
    <x v="151"/>
  </r>
  <r>
    <s v="PLANO DISPOSICIÓN Y CANALIZACIÓN DE ALUMBRADO ESPESADOR"/>
    <s v="B"/>
    <d v="2024-02-23T00:00:00"/>
    <x v="10"/>
    <s v="ESTUDIO"/>
    <n v="1"/>
    <s v="ELECTRICO"/>
    <s v="EL_01"/>
    <x v="2"/>
    <x v="152"/>
  </r>
  <r>
    <s v="PLANO DISPOSICIÓN Y CANALIZACIÓN DE ALUMBRADO PUENTE ESPESADOR"/>
    <s v="B"/>
    <d v="2024-02-23T00:00:00"/>
    <x v="10"/>
    <s v="ESTUDIO"/>
    <n v="1"/>
    <s v="ELECTRICO"/>
    <s v="EL_01"/>
    <x v="2"/>
    <x v="153"/>
  </r>
  <r>
    <s v="PLANO DISPOSICIÓN Y CANALIZACIÓN DE ALUMBRADO ESTRUCTURA 03350-EDF-001"/>
    <s v="B"/>
    <d v="2024-02-23T00:00:00"/>
    <x v="10"/>
    <s v="ESTUDIO"/>
    <n v="1"/>
    <s v="ELECTRICO"/>
    <s v="EL_01"/>
    <x v="2"/>
    <x v="154"/>
  </r>
  <r>
    <s v="PLANO ALUMBRADO DE ACCESO DISPOSICIÓN LUMINARIAS BODEGA DE ALMACENAMIENTO INDUSTRIAL"/>
    <n v="0"/>
    <d v="2024-02-23T00:00:00"/>
    <x v="10"/>
    <s v="ESTUDIO"/>
    <n v="1"/>
    <s v="ELECTRICO"/>
    <s v="EL_01"/>
    <x v="2"/>
    <x v="155"/>
  </r>
  <r>
    <s v="PLANO ALUMBRADO DE ACCESO DISPOSICIÓN LUMINARIAS CASA DE CAMBIO"/>
    <n v="0"/>
    <d v="2024-02-23T00:00:00"/>
    <x v="10"/>
    <s v="ESTUDIO"/>
    <n v="1"/>
    <s v="ELECTRICO"/>
    <s v="EL_01"/>
    <x v="2"/>
    <x v="156"/>
  </r>
  <r>
    <s v="PLANO ALUMBRADO DE ACCESO DISPOSICIÓN LUMINARIAS ESTACIÓN DE TRANSFERENCIA DE RESIDUOS"/>
    <n v="0"/>
    <d v="2024-02-23T00:00:00"/>
    <x v="10"/>
    <s v="ESTUDIO"/>
    <n v="1"/>
    <s v="ELECTRICO"/>
    <s v="EL_01"/>
    <x v="2"/>
    <x v="157"/>
  </r>
  <r>
    <s v="ADENDA CRITERIO DE DISEÑO ELECTRICIDAD"/>
    <n v="0"/>
    <d v="2024-02-23T00:00:00"/>
    <x v="12"/>
    <s v="ESTUDIO"/>
    <n v="110"/>
    <s v="ELECTRICO"/>
    <s v="EL_01"/>
    <x v="2"/>
    <x v="158"/>
  </r>
  <r>
    <s v="CUBICACIÓN MATERIALES ELÉCTRICOS"/>
    <n v="0"/>
    <d v="2024-02-23T00:00:00"/>
    <x v="13"/>
    <s v="ESTUDIO"/>
    <n v="11"/>
    <s v="ELECTRICO"/>
    <s v="EL_01"/>
    <x v="2"/>
    <x v="159"/>
  </r>
  <r>
    <s v="ESPECIFICACIÓN TÉCNICA PARARRAYOS"/>
    <n v="0"/>
    <d v="2024-02-23T00:00:00"/>
    <x v="11"/>
    <s v="ESTUDIO"/>
    <n v="12"/>
    <s v="ELECTRICO"/>
    <s v="EL_01"/>
    <x v="2"/>
    <x v="160"/>
  </r>
  <r>
    <s v="ESPECIFICACIÓN TÉCNICA CABLES DE BAJA TENSIÓN"/>
    <n v="0"/>
    <d v="2024-02-23T00:00:00"/>
    <x v="11"/>
    <s v="ESTUDIO"/>
    <n v="16"/>
    <s v="ELECTRICO"/>
    <s v="EL_01"/>
    <x v="2"/>
    <x v="161"/>
  </r>
  <r>
    <s v="ESPECIFICACIÓN TÉCNICA SISTEMA DE ILUMINACIÓN"/>
    <n v="0"/>
    <d v="2024-02-23T00:00:00"/>
    <x v="11"/>
    <s v="ESTUDIO"/>
    <n v="12"/>
    <s v="ELECTRICO"/>
    <s v="EL_01"/>
    <x v="2"/>
    <x v="162"/>
  </r>
  <r>
    <s v="ESPECIFICACIÓN TÉCNICA CENTRO DE CONTROL DE MOTORES DE BAJA TENSIÓN"/>
    <n v="1"/>
    <d v="2024-02-23T00:00:00"/>
    <x v="11"/>
    <s v="ESTUDIO"/>
    <n v="19"/>
    <s v="ELECTRICO"/>
    <s v="EL_01"/>
    <x v="2"/>
    <x v="163"/>
  </r>
  <r>
    <s v="ESPECIFICACIÓN TÉCNICA VARIADOR DE FRECUENCIA DE BAJA TENSIÓN"/>
    <n v="1"/>
    <d v="2024-02-23T00:00:00"/>
    <x v="11"/>
    <s v="ESTUDIO"/>
    <n v="21"/>
    <s v="ELECTRICO"/>
    <s v="EL_01"/>
    <x v="2"/>
    <x v="164"/>
  </r>
  <r>
    <s v="ESPECIFICACIÓN TÉCNICA SALA ELÉCTRICA"/>
    <n v="1"/>
    <d v="2024-02-23T00:00:00"/>
    <x v="11"/>
    <s v="ESTUDIO"/>
    <n v="23"/>
    <s v="ELECTRICO"/>
    <s v="EL_01"/>
    <x v="2"/>
    <x v="165"/>
  </r>
  <r>
    <s v="HOJA DE DATOS CCM DE BAJA TENSIÓN"/>
    <n v="2"/>
    <d v="2024-02-23T00:00:00"/>
    <x v="14"/>
    <s v="ESTUDIO"/>
    <n v="26"/>
    <s v="ELECTRICO"/>
    <s v="EL_01"/>
    <x v="2"/>
    <x v="166"/>
  </r>
  <r>
    <s v="HOJA DE DATOS VDF DE BAJA TENSIÓN"/>
    <n v="1"/>
    <d v="2024-02-23T00:00:00"/>
    <x v="14"/>
    <s v="ESTUDIO"/>
    <n v="14"/>
    <s v="ELECTRICO"/>
    <s v="EL_01"/>
    <x v="2"/>
    <x v="167"/>
  </r>
  <r>
    <s v="HOJA DE DATOS TABLERO DE FUERZA Y ALUMBRADO"/>
    <s v="O"/>
    <d v="2024-02-23T00:00:00"/>
    <x v="14"/>
    <s v="ESTUDIO"/>
    <n v="12"/>
    <s v="ELECTRICO"/>
    <s v="EL_01"/>
    <x v="2"/>
    <x v="168"/>
  </r>
  <r>
    <s v="HOJA DE DATOS SALA ELÉCTRICA"/>
    <n v="1"/>
    <d v="2024-02-23T00:00:00"/>
    <x v="14"/>
    <s v="ESTUDIO"/>
    <n v="16"/>
    <s v="ELECTRICO"/>
    <s v="EL_01"/>
    <x v="2"/>
    <x v="169"/>
  </r>
  <r>
    <s v="HOJA DE DATOS CABLES DE PODER DE BAJA TENSIÓN"/>
    <n v="1"/>
    <d v="2024-02-23T00:00:00"/>
    <x v="14"/>
    <s v="ESTUDIO"/>
    <n v="27"/>
    <s v="ELECTRICO"/>
    <s v="EL_01"/>
    <x v="2"/>
    <x v="170"/>
  </r>
  <r>
    <s v="INFORME IMPACTO ELÉCTRICO"/>
    <n v="0"/>
    <d v="2024-02-23T00:00:00"/>
    <x v="5"/>
    <s v="ESTUDIO"/>
    <n v="11"/>
    <s v="ELECTRICO"/>
    <s v="EL_01"/>
    <x v="2"/>
    <x v="171"/>
  </r>
  <r>
    <s v="LISTADO DE EQUIPOS ELÉCTRICOS"/>
    <n v="0"/>
    <d v="2024-02-23T00:00:00"/>
    <x v="8"/>
    <s v="ESTUDIO"/>
    <n v="7"/>
    <s v="ELECTRICO"/>
    <s v="EL_01"/>
    <x v="2"/>
    <x v="172"/>
  </r>
  <r>
    <s v="LISTADO DE CIRCUITOS ELÉCTRICOS"/>
    <n v="1"/>
    <d v="2024-02-23T00:00:00"/>
    <x v="8"/>
    <s v="ESTUDIO"/>
    <n v="8"/>
    <s v="ELECTRICO"/>
    <s v="EL_01"/>
    <x v="2"/>
    <x v="173"/>
  </r>
  <r>
    <s v="MEMORIA DE CÁLCULO MALLA A TIERRA"/>
    <n v="1"/>
    <d v="2024-02-23T00:00:00"/>
    <x v="17"/>
    <s v="ESTUDIO"/>
    <n v="53"/>
    <s v="ELECTRICO"/>
    <s v="EL_01"/>
    <x v="2"/>
    <x v="174"/>
  </r>
  <r>
    <s v="MEMORIA DE CÁLCULO FLUJO DE POTENCIA"/>
    <n v="0"/>
    <d v="2024-02-23T00:00:00"/>
    <x v="17"/>
    <s v="ESTUDIO"/>
    <n v="15"/>
    <s v="ELECTRICO"/>
    <s v="EL_01"/>
    <x v="2"/>
    <x v="175"/>
  </r>
  <r>
    <s v="MEMORIA DE CÁLCULO CONDUCTORES ALIMENTADORES CASA DE CAMBIO"/>
    <n v="0"/>
    <d v="2024-02-23T00:00:00"/>
    <x v="17"/>
    <s v="ESTUDIO"/>
    <n v="9"/>
    <s v="ELECTRICO"/>
    <s v="EL_01"/>
    <x v="2"/>
    <x v="176"/>
  </r>
  <r>
    <s v="MEMORIA DE CÁLCULO CONDUCTORES ALIMENTADORES BODEGA DE ALMACENAMIENTO INDUSTRIAL"/>
    <n v="0"/>
    <d v="2024-02-23T00:00:00"/>
    <x v="17"/>
    <s v="ESTUDIO"/>
    <n v="9"/>
    <s v="ELECTRICO"/>
    <s v="EL_01"/>
    <x v="2"/>
    <x v="177"/>
  </r>
  <r>
    <s v="MEMORIA DE CÁLCULO CONDUCTORES ALIMENTADORES ESTACIÓN DE TRANSFERENCIA DE RESIDUOS INDUSTRIALES – UBICACIÓN DEFINITIVA"/>
    <n v="0"/>
    <d v="2024-02-23T00:00:00"/>
    <x v="17"/>
    <s v="ESTUDIO"/>
    <n v="9"/>
    <s v="ELECTRICO"/>
    <s v="EL_01"/>
    <x v="2"/>
    <x v="178"/>
  </r>
  <r>
    <s v="MEMORIA DE CÁLCULO CONDUCTORES ALIMENTADORES ESTACIÓN DE TRANSFERENCIA DE RESIDUOS INDUSTRIALES – UBICACIÓN TRANSITORIA"/>
    <n v="0"/>
    <d v="2024-02-23T00:00:00"/>
    <x v="17"/>
    <s v="ESTUDIO"/>
    <n v="9"/>
    <s v="ELECTRICO"/>
    <s v="EL_01"/>
    <x v="2"/>
    <x v="179"/>
  </r>
  <r>
    <s v="MEMORIA DE CÁLCULO CORRIENTES DE CORTOCIRCUITO"/>
    <n v="0"/>
    <d v="2024-02-23T00:00:00"/>
    <x v="17"/>
    <s v="ESTUDIO"/>
    <n v="15"/>
    <s v="ELECTRICO"/>
    <s v="EL_01"/>
    <x v="2"/>
    <x v="180"/>
  </r>
  <r>
    <s v="MEMORIA DE CÁLCULO CONDUCTORES EN BAJA TENSIÓN"/>
    <n v="1"/>
    <d v="2024-02-23T00:00:00"/>
    <x v="17"/>
    <s v="ESTUDIO"/>
    <n v="11"/>
    <s v="ELECTRICO"/>
    <s v="EL_01"/>
    <x v="2"/>
    <x v="181"/>
  </r>
  <r>
    <s v="MEMORIA DE CÁLCULO PARARRAYOS"/>
    <n v="0"/>
    <d v="2024-02-23T00:00:00"/>
    <x v="17"/>
    <s v="ESTUDIO"/>
    <n v="14"/>
    <s v="ELECTRICO"/>
    <s v="EL_01"/>
    <x v="2"/>
    <x v="182"/>
  </r>
  <r>
    <s v="MEMORIA DE CÁLCULO ARC FLASH"/>
    <n v="0"/>
    <d v="2024-02-23T00:00:00"/>
    <x v="17"/>
    <s v="ESTUDIO"/>
    <n v="12"/>
    <s v="ELECTRICO"/>
    <s v="EL_01"/>
    <x v="2"/>
    <x v="183"/>
  </r>
  <r>
    <s v="MEMORIA DE CÁLCULO ILUMINACIÓN"/>
    <n v="0"/>
    <d v="2024-02-23T00:00:00"/>
    <x v="17"/>
    <s v="ESTUDIO"/>
    <n v="77"/>
    <s v="ELECTRICO"/>
    <s v="EL_01"/>
    <x v="2"/>
    <x v="184"/>
  </r>
  <r>
    <s v="FOSO DE DERRAMES, ACCESO Y CÁMARAS ELÉCTRICAS FORMAS - PLANTA (1/4)"/>
    <s v="B"/>
    <d v="2024-02-23T00:00:00"/>
    <x v="10"/>
    <s v="ESTUDIO"/>
    <n v="1"/>
    <s v="ESTRUCTURA"/>
    <s v="ES_01"/>
    <x v="2"/>
    <x v="185"/>
  </r>
  <r>
    <s v="FOSO DE DERRAMES, ACCESO Y CÁMARAS ELÉCTRICAS FORMAS - PLANTAS Y SECCIONES (2/4)"/>
    <s v="B"/>
    <d v="2024-02-23T00:00:00"/>
    <x v="10"/>
    <s v="ESTUDIO"/>
    <n v="1"/>
    <s v="ESTRUCTURA"/>
    <s v="ES_01"/>
    <x v="2"/>
    <x v="186"/>
  </r>
  <r>
    <s v="FOSO DE DERRAMES, ACCESO Y CÁMARAS ELÉCTRICAS FORMAS - PLANTAS Y SECCIONES (3/4)"/>
    <s v="B"/>
    <d v="2024-02-23T00:00:00"/>
    <x v="10"/>
    <s v="ESTUDIO"/>
    <n v="1"/>
    <s v="ESTRUCTURA"/>
    <s v="ES_01"/>
    <x v="2"/>
    <x v="187"/>
  </r>
  <r>
    <s v="FOSO DE DERRAMES, ACCESO Y CÁMARAS ELÉCTRICAS FORMAS - PLANTAS Y SECCIONES (4/4)"/>
    <s v="B"/>
    <d v="2024-02-23T00:00:00"/>
    <x v="10"/>
    <s v="ESTUDIO"/>
    <n v="1"/>
    <s v="ESTRUCTURA"/>
    <s v="ES_01"/>
    <x v="2"/>
    <x v="188"/>
  </r>
  <r>
    <s v="FUNDACIÓN ESPESADOR FORMAS - PLANTA (1/3)"/>
    <n v="0"/>
    <d v="2024-02-23T00:00:00"/>
    <x v="10"/>
    <s v="ESTUDIO"/>
    <n v="1"/>
    <s v="ESTRUCTURA"/>
    <s v="ES_01"/>
    <x v="2"/>
    <x v="189"/>
  </r>
  <r>
    <s v="FUNDACIÓN ESPESADOR FORMAS - PLANTAS Y SECCIONES (2/3)"/>
    <n v="0"/>
    <d v="2024-02-23T00:00:00"/>
    <x v="10"/>
    <s v="ESTUDIO"/>
    <n v="1"/>
    <s v="ESTRUCTURA"/>
    <s v="ES_01"/>
    <x v="2"/>
    <x v="190"/>
  </r>
  <r>
    <s v="FUNDACIÓN ESPESADOR FORMAS - PLANTAS Y SECCIONES (3/3)"/>
    <n v="0"/>
    <d v="2024-02-23T00:00:00"/>
    <x v="10"/>
    <s v="ESTUDIO"/>
    <n v="1"/>
    <s v="ESTRUCTURA"/>
    <s v="ES_01"/>
    <x v="2"/>
    <x v="191"/>
  </r>
  <r>
    <s v="FUNDACIÓN TORRE CAJÓN FORMAS - PLANTA, SECCIÓN Y DETALLE"/>
    <n v="0"/>
    <d v="2024-02-23T00:00:00"/>
    <x v="10"/>
    <s v="ESTUDIO"/>
    <n v="1"/>
    <s v="ESTRUCTURA"/>
    <s v="ES_01"/>
    <x v="2"/>
    <x v="192"/>
  </r>
  <r>
    <s v="FUNDACIÓN SALA ELÉCTRICA FORMAS - PLANTA, SECCIÓN Y DETALLE"/>
    <n v="0"/>
    <d v="2024-02-23T00:00:00"/>
    <x v="10"/>
    <s v="ESTUDIO"/>
    <n v="1"/>
    <s v="ESTRUCTURA"/>
    <s v="ES_01"/>
    <x v="2"/>
    <x v="193"/>
  </r>
  <r>
    <s v="DISEÑO LOSA BODEGA - FORMAS Y ARMADURAS"/>
    <n v="0"/>
    <d v="2024-02-23T00:00:00"/>
    <x v="10"/>
    <s v="ESTUDIO"/>
    <n v="1"/>
    <s v="ESTRUCTURA"/>
    <s v="ES_01"/>
    <x v="2"/>
    <x v="194"/>
  </r>
  <r>
    <s v="CASA DE CAMBIO SANEAMIENTO - MURO DE CONTENCIÓN - FORMAS Y ARMADURA"/>
    <n v="0"/>
    <d v="2024-02-23T00:00:00"/>
    <x v="10"/>
    <s v="ESTUDIO"/>
    <n v="1"/>
    <s v="ESTRUCTURA"/>
    <s v="ES_01"/>
    <x v="2"/>
    <x v="195"/>
  </r>
  <r>
    <s v="FUNDACIONES MISCELÁNEAS PLANTA UBICACIÓN Y DETALLE FUNDACIONES"/>
    <s v="B"/>
    <d v="2024-02-23T00:00:00"/>
    <x v="10"/>
    <s v="ESTUDIO"/>
    <n v="1"/>
    <s v="ESTRUCTURA"/>
    <s v="ES_01"/>
    <x v="2"/>
    <x v="196"/>
  </r>
  <r>
    <s v="ESTRUCTURA PLATAFORMAS TORRE Y PIPE RACK PLANTA Y SECCIONES"/>
    <n v="0"/>
    <d v="2024-02-23T00:00:00"/>
    <x v="10"/>
    <s v="ESTUDIO"/>
    <n v="1"/>
    <s v="ESTRUCTURA"/>
    <s v="ES_01"/>
    <x v="2"/>
    <x v="197"/>
  </r>
  <r>
    <s v="DISPOSICIÓN GENERAL ESTRUCTURAS FOSO PLANTA GENERAL"/>
    <s v="B"/>
    <d v="2024-02-23T00:00:00"/>
    <x v="10"/>
    <s v="ESTUDIO"/>
    <n v="1"/>
    <s v="ESTRUCTURA"/>
    <s v="ES_01"/>
    <x v="2"/>
    <x v="198"/>
  </r>
  <r>
    <s v="SOPORTE ESCALERILLAS ELECTRICAS ELÉCTRICAS PLANTA Y SECCIONES (1 / 3)"/>
    <n v="1"/>
    <d v="2024-02-23T00:00:00"/>
    <x v="10"/>
    <s v="ESTUDIO"/>
    <n v="1"/>
    <s v="ESTRUCTURA"/>
    <s v="ES_01"/>
    <x v="2"/>
    <x v="199"/>
  </r>
  <r>
    <s v="SOPORTES ESCALERILLAS ELÉCTRICAS PLANTA Y SECCIONES (2 /3)"/>
    <s v="B"/>
    <d v="2024-02-23T00:00:00"/>
    <x v="10"/>
    <s v="ESTUDIO"/>
    <n v="1"/>
    <s v="ESTRUCTURA"/>
    <s v="ES_01"/>
    <x v="2"/>
    <x v="200"/>
  </r>
  <r>
    <s v="ESTRUCTURA TORRE CAJÓN DE TRASPASO EE.MM. - PLANTAS (1/3)"/>
    <n v="0"/>
    <d v="2024-02-23T00:00:00"/>
    <x v="10"/>
    <s v="ESTUDIO"/>
    <n v="1"/>
    <s v="ESTRUCTURA"/>
    <s v="ES_01"/>
    <x v="2"/>
    <x v="201"/>
  </r>
  <r>
    <s v="ESTRUCTURA TORRE CAJÓN DE TRASPASO EE.MM. - ELEVACIONES (2/3)"/>
    <n v="0"/>
    <d v="2024-02-23T00:00:00"/>
    <x v="10"/>
    <s v="ESTUDIO"/>
    <n v="1"/>
    <s v="ESTRUCTURA"/>
    <s v="ES_01"/>
    <x v="2"/>
    <x v="202"/>
  </r>
  <r>
    <s v="ESTRUCTURA TORRE CAJÓN DE TRASPASO EE.MM. - ELEVACIONES Y SECCIONES (3/3)"/>
    <n v="0"/>
    <d v="2024-02-23T00:00:00"/>
    <x v="10"/>
    <s v="ESTUDIO"/>
    <n v="1"/>
    <s v="ESTRUCTURA"/>
    <s v="ES_01"/>
    <x v="2"/>
    <x v="203"/>
  </r>
  <r>
    <s v="ESTRUCTURA ESTANQUE AGUA DE SELLO Y ESCALERA FOSO - PLANTAS Y ELEVACIONES"/>
    <n v="0"/>
    <d v="2024-02-23T00:00:00"/>
    <x v="10"/>
    <s v="ESTUDIO"/>
    <n v="1"/>
    <s v="ESTRUCTURA"/>
    <s v="ES_01"/>
    <x v="2"/>
    <x v="204"/>
  </r>
  <r>
    <s v="ESTRUCTURA MONORRIEL Y SOPORTES CAÑERÍAS PLANTAS Y ELEVACIONES"/>
    <n v="0"/>
    <d v="2024-02-23T00:00:00"/>
    <x v="10"/>
    <s v="ESTUDIO"/>
    <n v="1"/>
    <s v="ESTRUCTURA"/>
    <s v="ES_01"/>
    <x v="2"/>
    <x v="205"/>
  </r>
  <r>
    <s v="PLANOS SOPORTES LINEAS DE PIPING PLANTAS Y SECCIONES (1/1)"/>
    <n v="0"/>
    <d v="2024-02-23T00:00:00"/>
    <x v="10"/>
    <s v="ESTUDIO"/>
    <n v="1"/>
    <s v="ESTRUCTURA"/>
    <s v="ES_01"/>
    <x v="2"/>
    <x v="206"/>
  </r>
  <r>
    <s v="ESTRUCTURAS SOPORTE PIPING Y VÁLVULAS PLANTAS Y SECCIONES (2/2)"/>
    <s v="B"/>
    <d v="2024-02-23T00:00:00"/>
    <x v="10"/>
    <s v="ESTUDIO"/>
    <n v="1"/>
    <s v="ESTRUCTURA"/>
    <s v="ES_01"/>
    <x v="2"/>
    <x v="207"/>
  </r>
  <r>
    <s v="PLATAFORMAS ACCESO INSTRUMENTACIÓN PLANTA Y SECCIONES"/>
    <s v="B"/>
    <d v="2024-02-23T00:00:00"/>
    <x v="10"/>
    <s v="ESTUDIO"/>
    <n v="1"/>
    <s v="ESTRUCTURA"/>
    <s v="ES_01"/>
    <x v="2"/>
    <x v="208"/>
  </r>
  <r>
    <s v="SOPORTES PIPING SECTOR CAMINO PLANTA Y ELEVACIONES"/>
    <s v="B"/>
    <d v="2024-02-23T00:00:00"/>
    <x v="10"/>
    <s v="ESTUDIO"/>
    <n v="1"/>
    <s v="ESTRUCTURA"/>
    <s v="ES_01"/>
    <x v="2"/>
    <x v="209"/>
  </r>
  <r>
    <s v="SOPORTES ANEXOS ESCALERILLAS ELÉCTRICAS PLANTAS Y SECCIONES"/>
    <s v="B"/>
    <d v="2024-02-23T00:00:00"/>
    <x v="10"/>
    <s v="ESTUDIO"/>
    <n v="1"/>
    <s v="ESTRUCTURA"/>
    <s v="ES_01"/>
    <x v="2"/>
    <x v="210"/>
  </r>
  <r>
    <s v="DETALLES SOPORTES PIPING SECUNDARIOS (1 DE 2) PLANTAS SECCIONES Y ELEVACIONES"/>
    <s v="B"/>
    <d v="2024-02-23T00:00:00"/>
    <x v="10"/>
    <s v="ESTUDIO"/>
    <n v="1"/>
    <s v="ESTRUCTURA"/>
    <s v="ES_01"/>
    <x v="2"/>
    <x v="211"/>
  </r>
  <r>
    <s v="DETALLES SOPORTES PIPING SECUNDARIOS PLANTAS Y SECCIONES (2/2)"/>
    <s v="B"/>
    <d v="2024-02-23T00:00:00"/>
    <x v="10"/>
    <s v="ESTUDIO"/>
    <n v="1"/>
    <s v="ESTRUCTURA"/>
    <s v="ES_01"/>
    <x v="2"/>
    <x v="212"/>
  </r>
  <r>
    <s v="SOPORTES ELÉCTRICOS EXTERIOR FOSO PLANTA UBICACIÓN Y DETALLE SOPORTES"/>
    <s v="B"/>
    <d v="2024-02-23T00:00:00"/>
    <x v="10"/>
    <s v="ESTUDIO"/>
    <n v="1"/>
    <s v="ESTRUCTURA"/>
    <s v="ES_01"/>
    <x v="2"/>
    <x v="213"/>
  </r>
  <r>
    <s v="PLATAFORMA DESCARGA TECLE Y SOP. MURO EXIST. EE.MM. - PLANTAS Y SECCIONES"/>
    <s v="B"/>
    <d v="2024-02-23T00:00:00"/>
    <x v="10"/>
    <s v="ESTUDIO"/>
    <n v="1"/>
    <s v="ESTRUCTURA"/>
    <s v="ES_01"/>
    <x v="2"/>
    <x v="214"/>
  </r>
  <r>
    <s v="BARANDAS PERIMETRALES EN MURO FOSO PLANTA UBICACIÓN Y SECCIONES"/>
    <n v="0"/>
    <d v="2024-02-23T00:00:00"/>
    <x v="10"/>
    <s v="ESTUDIO"/>
    <n v="1"/>
    <s v="ESTRUCTURA"/>
    <s v="ES_01"/>
    <x v="2"/>
    <x v="215"/>
  </r>
  <r>
    <s v="FOSO DE DERRAMES, ACCESO Y CÁMARAS ELÉCTRICAS ARMADURAS - PLANTA DISPOSICIÓN (1/5)"/>
    <s v="B"/>
    <d v="2024-02-23T00:00:00"/>
    <x v="10"/>
    <s v="ESTUDIO"/>
    <n v="1"/>
    <s v="ESTRUCTURA"/>
    <s v="ES_01"/>
    <x v="2"/>
    <x v="216"/>
  </r>
  <r>
    <s v="FOSO DE DERRAMES, ACCESO Y CÁMARAS ELÉCTRICAS ARMADURAS - ELEVACIONES (2/5)"/>
    <s v="B"/>
    <d v="2024-02-23T00:00:00"/>
    <x v="10"/>
    <s v="ESTUDIO"/>
    <n v="1"/>
    <s v="ESTRUCTURA"/>
    <s v="ES_01"/>
    <x v="2"/>
    <x v="217"/>
  </r>
  <r>
    <s v="FOSO DE DERRAMES, ACCESO Y CÁMARAS ELÉCTRICAS ARMADURAS - PLANTA, ELEVACIÓN Y SECCIONES (3/5)"/>
    <s v="B"/>
    <d v="2024-02-23T00:00:00"/>
    <x v="10"/>
    <s v="ESTUDIO"/>
    <n v="1"/>
    <s v="ESTRUCTURA"/>
    <s v="ES_01"/>
    <x v="2"/>
    <x v="218"/>
  </r>
  <r>
    <s v="FOSO DE DERRAMES, ACCESO Y CÁMARAS ELÉCTRICAS ARMADURAS - PLANTA, ELEVACIÓN Y SECCIONES (4/6)"/>
    <s v="B"/>
    <d v="2024-02-23T00:00:00"/>
    <x v="10"/>
    <s v="ESTUDIO"/>
    <n v="1"/>
    <s v="ESTRUCTURA"/>
    <s v="ES_01"/>
    <x v="2"/>
    <x v="219"/>
  </r>
  <r>
    <s v="FOSO DE DERRAMES, ACCESO Y CÁMARAS ELÉCTRICAS ARMADURAS - PLANTA Y SECCIÓN (5/6)"/>
    <s v="B"/>
    <d v="2024-02-23T00:00:00"/>
    <x v="10"/>
    <s v="ESTUDIO"/>
    <n v="1"/>
    <s v="ESTRUCTURA"/>
    <s v="ES_01"/>
    <x v="2"/>
    <x v="220"/>
  </r>
  <r>
    <s v="FOSO DE DERRAMES, ACCESO Y CÁMARAS ELÉCTRICAS ARMADURAS - PLANTA Y SECCIÓN (6/6)"/>
    <s v="B"/>
    <d v="2024-02-23T00:00:00"/>
    <x v="10"/>
    <s v="ESTUDIO"/>
    <n v="1"/>
    <s v="ESTRUCTURA"/>
    <s v="ES_01"/>
    <x v="2"/>
    <x v="221"/>
  </r>
  <r>
    <s v="FUNDACIÓN ESPESADOR ARMADURAS - PLANTA DISPOSICIÓN (1/5)"/>
    <n v="0"/>
    <d v="2024-02-23T00:00:00"/>
    <x v="10"/>
    <s v="ESTUDIO"/>
    <n v="1"/>
    <s v="ESTRUCTURA"/>
    <s v="ES_01"/>
    <x v="2"/>
    <x v="222"/>
  </r>
  <r>
    <s v="FUNDACIÓN ESPESADOR ARMADURAS - PLANTAS Y SECCIONES (2/5)"/>
    <n v="0"/>
    <d v="2024-02-23T00:00:00"/>
    <x v="10"/>
    <s v="ESTUDIO"/>
    <n v="1"/>
    <s v="ESTRUCTURA"/>
    <s v="ES_01"/>
    <x v="2"/>
    <x v="223"/>
  </r>
  <r>
    <s v="FUNDACIÓN ESPESADOR ARMADURAS - PLANTAS Y SECCIONES (3/5)"/>
    <n v="0"/>
    <d v="2024-02-23T00:00:00"/>
    <x v="10"/>
    <s v="ESTUDIO"/>
    <n v="1"/>
    <s v="ESTRUCTURA"/>
    <s v="ES_01"/>
    <x v="2"/>
    <x v="224"/>
  </r>
  <r>
    <s v="FUNDACIÓN ESPESADOR ARMADURAS - ELEVACIONES Y SECCIONES (4/5)"/>
    <n v="0"/>
    <d v="2024-02-23T00:00:00"/>
    <x v="10"/>
    <s v="ESTUDIO"/>
    <n v="1"/>
    <s v="ESTRUCTURA"/>
    <s v="ES_01"/>
    <x v="2"/>
    <x v="225"/>
  </r>
  <r>
    <s v="FUNDACIÓN ESPESADOR ARMADURAS - ELEVACIONES Y SECCIONES (5/5)"/>
    <n v="0"/>
    <d v="2024-02-23T00:00:00"/>
    <x v="10"/>
    <s v="ESTUDIO"/>
    <n v="1"/>
    <s v="ESTRUCTURA"/>
    <s v="ES_01"/>
    <x v="2"/>
    <x v="226"/>
  </r>
  <r>
    <s v="FUNDACIÓN TORRE CAJÓN ARMADURAS - PLANTA, ELEVACIÓN Y SECCIONES"/>
    <n v="0"/>
    <d v="2024-02-23T00:00:00"/>
    <x v="10"/>
    <s v="ESTUDIO"/>
    <n v="1"/>
    <s v="ESTRUCTURA"/>
    <s v="ES_01"/>
    <x v="2"/>
    <x v="227"/>
  </r>
  <r>
    <s v="FUNDACIÓN SALA ELÉCTRICA ARMADURAS - PLANTA, ELEVACIÓN Y SECCIONES"/>
    <n v="0"/>
    <d v="2024-02-23T00:00:00"/>
    <x v="10"/>
    <s v="ESTUDIO"/>
    <n v="1"/>
    <s v="ESTRUCTURA"/>
    <s v="ES_01"/>
    <x v="2"/>
    <x v="228"/>
  </r>
  <r>
    <s v="FUNDACIONES MISCELÁNEAS ARMADURAS - PLANTAS Y SECCIONES"/>
    <s v="B"/>
    <d v="2024-02-23T00:00:00"/>
    <x v="10"/>
    <s v="ESTUDIO"/>
    <n v="1"/>
    <s v="ESTRUCTURA"/>
    <s v="ES_01"/>
    <x v="2"/>
    <x v="229"/>
  </r>
  <r>
    <s v="ESPECIFICACIÓN TÉCNICA DE HORMIGÓN"/>
    <n v="1"/>
    <d v="2024-02-23T00:00:00"/>
    <x v="11"/>
    <s v="ESTUDIO"/>
    <n v="33"/>
    <s v="ESTRUCTURA"/>
    <s v="ES_01"/>
    <x v="2"/>
    <x v="230"/>
  </r>
  <r>
    <s v="ESPECIFICACIÓN TÉCNICA DE ESTRUCTURAS DE ACERO"/>
    <n v="0"/>
    <d v="2024-02-23T00:00:00"/>
    <x v="11"/>
    <s v="ESTUDIO"/>
    <n v="229"/>
    <s v="ESTRUCTURA"/>
    <s v="ES_01"/>
    <x v="2"/>
    <x v="231"/>
  </r>
  <r>
    <s v="MEMORIA DE CÁLCULO EDIFICIO DE SOPORTE CAJÓN DE TRASPASO"/>
    <n v="0"/>
    <d v="2024-02-23T00:00:00"/>
    <x v="17"/>
    <s v="ESTUDIO"/>
    <n v="57"/>
    <s v="ESTRUCTURA"/>
    <s v="ES_01"/>
    <x v="2"/>
    <x v="232"/>
  </r>
  <r>
    <s v="MEMORIA DE CÁLCULO FUNDACIÓN ESPESADOR DE CABEZA"/>
    <n v="1"/>
    <d v="2024-02-23T00:00:00"/>
    <x v="17"/>
    <s v="ESTUDIO"/>
    <n v="54"/>
    <s v="ESTRUCTURA"/>
    <s v="ES_01"/>
    <x v="2"/>
    <x v="233"/>
  </r>
  <r>
    <s v="MEMORIA DE CÁLCULO ANÁLISIS DE ESTABILIDAD, EMPUJES Y DEFORMACIONES DE TALUD NUEVO ESPESADOR"/>
    <n v="0"/>
    <d v="2024-02-23T00:00:00"/>
    <x v="17"/>
    <s v="ESTUDIO"/>
    <n v="18"/>
    <s v="ESTRUCTURA"/>
    <s v="ES_01"/>
    <x v="2"/>
    <x v="234"/>
  </r>
  <r>
    <s v="MEMORIA DE CÁLCULO VERIFICACIÓN ESTRUCTURAL DEL CAJÓN DE PRECARGA"/>
    <n v="0"/>
    <d v="2024-02-23T00:00:00"/>
    <x v="17"/>
    <s v="ESTUDIO"/>
    <n v="28"/>
    <s v="ESTRUCTURA"/>
    <s v="ES_01"/>
    <x v="2"/>
    <x v="235"/>
  </r>
  <r>
    <s v="MEMORIA DE CÁLCULO OBRAS MISCELÁNEAS"/>
    <n v="0"/>
    <d v="2024-02-23T00:00:00"/>
    <x v="17"/>
    <s v="ESTUDIO"/>
    <n v="16"/>
    <s v="ESTRUCTURA"/>
    <s v="ES_01"/>
    <x v="2"/>
    <x v="236"/>
  </r>
  <r>
    <s v="MEMORIA DE CÁLCULO VERIFICACIÓN ESTRUCTURAL DEL CAJÓN DE TRASPASO"/>
    <n v="0"/>
    <d v="2024-02-23T00:00:00"/>
    <x v="17"/>
    <s v="ESTUDIO"/>
    <n v="28"/>
    <s v="ESTRUCTURA"/>
    <s v="ES_01"/>
    <x v="2"/>
    <x v="237"/>
  </r>
  <r>
    <s v="MEMORIA DE CÁLCULO FUNDACIÓN SALA ELÉCTRICA"/>
    <n v="0"/>
    <d v="2024-02-23T00:00:00"/>
    <x v="17"/>
    <s v="ESTUDIO"/>
    <n v="17"/>
    <s v="ESTRUCTURA"/>
    <s v="ES_01"/>
    <x v="2"/>
    <x v="238"/>
  </r>
  <r>
    <s v="REVISIÓN Y ACTUALIZACIÓN MEMORIA CÁLCULO HIDRÁULICA"/>
    <n v="1"/>
    <d v="2024-02-23T00:00:00"/>
    <x v="17"/>
    <s v="ESTUDIO"/>
    <n v="11"/>
    <s v="MECANICO"/>
    <s v="HD_01"/>
    <x v="2"/>
    <x v="239"/>
  </r>
  <r>
    <s v="MEMORIA DE CÁLCULO AGUA DE SELLO"/>
    <n v="0"/>
    <d v="2024-02-23T00:00:00"/>
    <x v="17"/>
    <s v="ESTUDIO"/>
    <n v="12"/>
    <s v="MECANICO"/>
    <s v="HD_01"/>
    <x v="2"/>
    <x v="240"/>
  </r>
  <r>
    <s v="PLAN DE EJECUCIÓN BIM (PEB)"/>
    <n v="0"/>
    <d v="2024-02-23T00:00:00"/>
    <x v="5"/>
    <s v="ESTUDIO"/>
    <n v="86"/>
    <s v="GENERAL"/>
    <s v="IT_01"/>
    <x v="2"/>
    <x v="241"/>
  </r>
  <r>
    <s v="MEMORÁNDUM TÉCNICO"/>
    <n v="0"/>
    <d v="2024-02-23T00:00:00"/>
    <x v="5"/>
    <s v="ESTUDIO"/>
    <n v="14"/>
    <s v="GENERAL"/>
    <s v="IT_01"/>
    <x v="2"/>
    <x v="1"/>
  </r>
  <r>
    <s v="MEMORÁNDUM TÉCNICO APROBACIÓN ESTADO E2 MODELO BIM"/>
    <n v="0"/>
    <d v="2024-02-23T00:00:00"/>
    <x v="5"/>
    <s v="ESTUDIO"/>
    <n v="11"/>
    <s v="GENERAL"/>
    <s v="IT_01"/>
    <x v="2"/>
    <x v="1"/>
  </r>
  <r>
    <s v="MEMORÁNDUM TÉCNICO APROBACION ESTADO E3 MODELO BIM"/>
    <n v="0"/>
    <d v="2024-02-23T00:00:00"/>
    <x v="5"/>
    <s v="ESTUDIO"/>
    <n v="11"/>
    <s v="GENERAL"/>
    <s v="IT_01"/>
    <x v="2"/>
    <x v="1"/>
  </r>
  <r>
    <s v="MEMORÁNDUM TÉCNICO APROBACION ESTADO E3 MODELO BIM"/>
    <s v="B"/>
    <d v="2024-02-23T00:00:00"/>
    <x v="5"/>
    <s v="ESTUDIO"/>
    <n v="11"/>
    <s v="GENERAL"/>
    <s v="IT_01"/>
    <x v="2"/>
    <x v="1"/>
  </r>
  <r>
    <s v="MEMORÁNDUM TÉCNICO APROBACION ESTADO E3 MODELO BIM"/>
    <s v="B"/>
    <d v="2024-02-23T00:00:00"/>
    <x v="5"/>
    <s v="ESTUDIO"/>
    <n v="11"/>
    <s v="GENERAL"/>
    <s v="IT_01"/>
    <x v="2"/>
    <x v="1"/>
  </r>
  <r>
    <s v="ADENDA NCC24"/>
    <n v="0"/>
    <d v="2024-02-23T00:00:00"/>
    <x v="5"/>
    <s v="ESTUDIO"/>
    <n v="124"/>
    <s v="GENERAL"/>
    <s v="MD_01"/>
    <x v="2"/>
    <x v="242"/>
  </r>
  <r>
    <s v="ADENDA NCC30 DE MANTENIBILIDAD (REALIZADA EN FACTIBILIDAD)"/>
    <n v="0"/>
    <d v="2024-02-23T00:00:00"/>
    <x v="5"/>
    <s v="ESTUDIO"/>
    <n v="103"/>
    <s v="GENERAL"/>
    <s v="MD_01"/>
    <x v="2"/>
    <x v="243"/>
  </r>
  <r>
    <s v="INFORME NCC40 SEGURIDAD CONTRA INCENDIOS"/>
    <n v="1"/>
    <d v="2024-02-23T00:00:00"/>
    <x v="5"/>
    <s v="ESTUDIO"/>
    <n v="20"/>
    <s v="GENERAL"/>
    <s v="MD_01"/>
    <x v="2"/>
    <x v="244"/>
  </r>
  <r>
    <s v="ADENDA NCC 32 EFICIENCIA ENERGÉTICA DEL PROYECTO"/>
    <n v="1"/>
    <d v="2024-02-23T00:00:00"/>
    <x v="5"/>
    <s v="ESTUDIO"/>
    <n v="24"/>
    <s v="GENERAL"/>
    <s v="MD_01"/>
    <x v="2"/>
    <x v="245"/>
  </r>
  <r>
    <s v="INFORME CONDICIONES DE SITIO"/>
    <n v="2"/>
    <d v="2024-02-23T00:00:00"/>
    <x v="5"/>
    <s v="ESTUDIO"/>
    <n v="14"/>
    <s v="GENERAL"/>
    <s v="MD_01"/>
    <x v="2"/>
    <x v="246"/>
  </r>
  <r>
    <s v="ACTUALIZACIÓN INFORME TALLER HAZOP"/>
    <n v="1"/>
    <d v="2024-02-23T00:00:00"/>
    <x v="5"/>
    <s v="ESTUDIO"/>
    <n v="80"/>
    <s v="GENERAL"/>
    <s v="MD_01"/>
    <x v="2"/>
    <x v="247"/>
  </r>
  <r>
    <s v="ACTUALIZACION INFORME TALLER CONSTRUCTIBILIDAD (INCLUYE TALLER) - SOLO INFORME"/>
    <n v="0"/>
    <d v="2024-02-23T00:00:00"/>
    <x v="5"/>
    <s v="ESTUDIO"/>
    <n v="49"/>
    <s v="GENERAL"/>
    <s v="MD_01"/>
    <x v="2"/>
    <x v="1"/>
  </r>
  <r>
    <s v="ACTUALIZACION INFORME TALLER CONSTRUCTIBILIDAD (INCLUYE TALLER) - RESP JRI"/>
    <s v="B"/>
    <d v="2024-02-23T00:00:00"/>
    <x v="5"/>
    <s v="ESTUDIO"/>
    <n v="97"/>
    <s v="GENERAL"/>
    <s v="MD_01"/>
    <x v="2"/>
    <x v="1"/>
  </r>
  <r>
    <s v="ACTUALIZACION INFORME TALLER CONSTRUCTIBILIDAD (INCLUYE TALLER)"/>
    <n v="0"/>
    <d v="2024-02-23T00:00:00"/>
    <x v="5"/>
    <s v="ESTUDIO"/>
    <n v="99"/>
    <s v="GENERAL"/>
    <s v="MD_01"/>
    <x v="2"/>
    <x v="248"/>
  </r>
  <r>
    <s v="SEÑALÉTICA"/>
    <s v="B"/>
    <d v="2024-02-23T00:00:00"/>
    <x v="5"/>
    <s v="ESTUDIO"/>
    <n v="18"/>
    <s v="GENERAL"/>
    <s v="MD_01"/>
    <x v="2"/>
    <x v="1"/>
  </r>
  <r>
    <s v="MEMORÁNDUM TÉCNICO"/>
    <s v="N"/>
    <d v="2024-02-23T00:00:00"/>
    <x v="5"/>
    <s v="ANULADO"/>
    <n v="11"/>
    <s v="GENERAL"/>
    <s v="MD_01"/>
    <x v="1"/>
    <x v="1"/>
  </r>
  <r>
    <s v="MEMORÁNDUM TÉCNICO SET UP MECÁNICA"/>
    <n v="0"/>
    <d v="2024-02-23T00:00:00"/>
    <x v="5"/>
    <s v="ESTUDIO"/>
    <n v="6"/>
    <s v="GENERAL"/>
    <s v="MD_01"/>
    <x v="2"/>
    <x v="249"/>
  </r>
  <r>
    <s v="MEMORÁNDUM TÉCNICO SET UP PIPING"/>
    <n v="0"/>
    <d v="2024-02-23T00:00:00"/>
    <x v="5"/>
    <s v="ESTUDIO"/>
    <n v="8"/>
    <s v="GENERAL"/>
    <s v="MD_01"/>
    <x v="2"/>
    <x v="250"/>
  </r>
  <r>
    <s v="MEMORÁNDUM TÉCNICO SET UP ESTRUCTURAS"/>
    <n v="0"/>
    <d v="2024-02-23T00:00:00"/>
    <x v="5"/>
    <s v="ESTUDIO"/>
    <n v="9"/>
    <s v="GENERAL"/>
    <s v="MD_01"/>
    <x v="2"/>
    <x v="251"/>
  </r>
  <r>
    <s v="MEMORÁNDUM TÉCNICO SET UP HORMIGÓN"/>
    <n v="0"/>
    <d v="2024-02-23T00:00:00"/>
    <x v="5"/>
    <s v="ESTUDIO"/>
    <n v="8"/>
    <s v="GENERAL"/>
    <s v="MD_01"/>
    <x v="2"/>
    <x v="252"/>
  </r>
  <r>
    <s v="MEMORÁNDUM TÉCNICO SETUP MOVIMIENTO DE TIERRAS"/>
    <n v="0"/>
    <d v="2024-02-23T00:00:00"/>
    <x v="5"/>
    <s v="ESTUDIO"/>
    <n v="7"/>
    <s v="GENERAL"/>
    <s v="MD_01"/>
    <x v="2"/>
    <x v="253"/>
  </r>
  <r>
    <s v="MEMORÁNDUM TÉCNICO SET UP ELECTRICIDAD"/>
    <n v="0"/>
    <d v="2024-02-23T00:00:00"/>
    <x v="5"/>
    <s v="ESTUDIO"/>
    <n v="9"/>
    <s v="GENERAL"/>
    <s v="MD_01"/>
    <x v="2"/>
    <x v="254"/>
  </r>
  <r>
    <s v="MEMORÁNDUM TÉCNICO SETUP INSTRUMENTACIÓN"/>
    <n v="0"/>
    <d v="2024-02-23T00:00:00"/>
    <x v="5"/>
    <s v="ESTUDIO"/>
    <n v="8"/>
    <s v="GENERAL"/>
    <s v="MD_01"/>
    <x v="2"/>
    <x v="255"/>
  </r>
  <r>
    <s v="MANUAL DE OPERACIONES Y PUESTA EN MARCHA"/>
    <n v="0"/>
    <d v="2024-02-23T00:00:00"/>
    <x v="5"/>
    <s v="ESTUDIO"/>
    <n v="82"/>
    <s v="GENERAL"/>
    <s v="MD_01"/>
    <x v="2"/>
    <x v="256"/>
  </r>
  <r>
    <s v="PLAN DE DESARME INSTALACIONES NO CRÍTICAS Y RETIRO DE ESCOMBROS"/>
    <n v="2"/>
    <d v="2024-02-23T00:00:00"/>
    <x v="5"/>
    <s v="ESTUDIO"/>
    <n v="16"/>
    <s v="GENERAL"/>
    <s v="MD_01"/>
    <x v="2"/>
    <x v="1"/>
  </r>
  <r>
    <s v="TALLER DE CONSTRUCTIBILIDAD - ETAPA ING. DE DETALLE - PROY. ESPESADOR CONCENTRADO COLECTIVO PMFC"/>
    <s v="-"/>
    <d v="2024-02-23T00:00:00"/>
    <x v="18"/>
    <s v="ESTUDIO"/>
    <n v="49"/>
    <s v="GENERAL"/>
    <s v="MD_01"/>
    <x v="1"/>
    <x v="0"/>
  </r>
  <r>
    <s v="ANEXO - TALLER DE CONSTRUCTIBILIDAD - MATRIZ DE HALLAZGOS"/>
    <s v="-"/>
    <d v="2024-02-23T00:00:00"/>
    <x v="8"/>
    <s v="ESTUDIO"/>
    <s v="-"/>
    <s v="GENERAL"/>
    <s v="MD_01"/>
    <x v="1"/>
    <x v="0"/>
  </r>
  <r>
    <s v="DISPOSICIÓN DE EQUIPOS SECCIONES LAMINA 2 DE 2"/>
    <s v="B"/>
    <d v="2024-02-23T00:00:00"/>
    <x v="10"/>
    <s v="ESTUDIO"/>
    <n v="1"/>
    <s v="MECANICO"/>
    <s v="ME_01"/>
    <x v="2"/>
    <x v="257"/>
  </r>
  <r>
    <s v="03351-EST-001 - ESTANQUE AGUA DE SELLO DISEÑO"/>
    <n v="0"/>
    <d v="2024-02-23T00:00:00"/>
    <x v="10"/>
    <s v="ESTUDIO"/>
    <n v="1"/>
    <s v="MECANICO"/>
    <s v="ME_01"/>
    <x v="2"/>
    <x v="258"/>
  </r>
  <r>
    <s v="DISPOSICIÓN GENERAL PLANTA GENERAL"/>
    <s v="B"/>
    <d v="2024-02-23T00:00:00"/>
    <x v="10"/>
    <s v="ESTUDIO"/>
    <n v="1"/>
    <s v="MECANICO"/>
    <s v="ME_01"/>
    <x v="2"/>
    <x v="259"/>
  </r>
  <r>
    <s v="DISPOSICIÓN DE EQUIPOS PLANTAS"/>
    <s v="B"/>
    <d v="2024-02-23T00:00:00"/>
    <x v="10"/>
    <s v="ESTUDIO"/>
    <n v="1"/>
    <s v="MECANICO"/>
    <s v="ME_01"/>
    <x v="2"/>
    <x v="260"/>
  </r>
  <r>
    <s v="DISPOSICIÓN DE EQUIPOS SECCIONES LAMINA 1 DE 2"/>
    <s v="B"/>
    <d v="2024-02-23T00:00:00"/>
    <x v="10"/>
    <s v="ESTUDIO"/>
    <n v="1"/>
    <s v="MECANICO"/>
    <s v="ME_01"/>
    <x v="2"/>
    <x v="261"/>
  </r>
  <r>
    <s v="CAJÓN DE PRECARGA - 03551-CAJ-001 DISEÑO"/>
    <n v="1"/>
    <d v="2024-02-23T00:00:00"/>
    <x v="10"/>
    <s v="OBSOLETO"/>
    <n v="1"/>
    <s v="MECANICO"/>
    <s v="ME_01"/>
    <x v="2"/>
    <x v="262"/>
  </r>
  <r>
    <s v="CANALETA - 03351-CAN-001 DISEÑO"/>
    <n v="1"/>
    <d v="2024-02-23T00:00:00"/>
    <x v="10"/>
    <s v="ESTUDIO"/>
    <n v="1"/>
    <s v="MECANICO"/>
    <s v="ME_01"/>
    <x v="2"/>
    <x v="263"/>
  </r>
  <r>
    <s v="CAJÓN DE TRASPASO 03351-CAJ-002 DISEÑO"/>
    <n v="1"/>
    <d v="2024-02-23T00:00:00"/>
    <x v="10"/>
    <s v="ESTUDIO"/>
    <n v="1"/>
    <s v="MECANICO"/>
    <s v="ME_01"/>
    <x v="2"/>
    <x v="264"/>
  </r>
  <r>
    <s v="PIEZA ESPECIAL 03351-ZZM-001 DISEÑO"/>
    <n v="0"/>
    <d v="2024-02-23T00:00:00"/>
    <x v="10"/>
    <s v="ESTUDIO"/>
    <n v="1"/>
    <s v="MECANICO"/>
    <s v="ME_01"/>
    <x v="2"/>
    <x v="265"/>
  </r>
  <r>
    <s v="ACTUALIZACIÓN CRITERIO DISEÑO MECÁNICA- PIPING"/>
    <n v="0"/>
    <d v="2024-02-23T00:00:00"/>
    <x v="12"/>
    <s v="ESTUDIO"/>
    <n v="227"/>
    <s v="MECANICO"/>
    <s v="ME_01"/>
    <x v="2"/>
    <x v="266"/>
  </r>
  <r>
    <s v="CUBICACIONES DE CALDERERÍA"/>
    <s v="B"/>
    <d v="2024-02-23T00:00:00"/>
    <x v="13"/>
    <s v="ESTUDIO"/>
    <n v="10"/>
    <s v="MECANICO"/>
    <s v="ME_01"/>
    <x v="2"/>
    <x v="1"/>
  </r>
  <r>
    <s v="ACTUALIZACIÓN ESPECIFICACIÓN TÉCNICA BOMBAS"/>
    <n v="0"/>
    <d v="2024-02-23T00:00:00"/>
    <x v="11"/>
    <s v="ESTUDIO"/>
    <n v="33"/>
    <s v="MECANICO"/>
    <s v="ME_01"/>
    <x v="2"/>
    <x v="267"/>
  </r>
  <r>
    <s v="ACTUALIZACIÓN ESPECIFICACIÓN TÉCNICA VÁLVULAS"/>
    <n v="1"/>
    <d v="2024-02-23T00:00:00"/>
    <x v="11"/>
    <s v="ESTUDIO"/>
    <n v="26"/>
    <s v="MECANICO"/>
    <s v="ME_01"/>
    <x v="2"/>
    <x v="268"/>
  </r>
  <r>
    <s v="ACTUALIZACIÓN ESPECIFICACIÓN TÉCNICA MATERIALES DE CAÑERÍAS"/>
    <n v="0"/>
    <d v="2024-02-23T00:00:00"/>
    <x v="11"/>
    <s v="OBSOLETO"/>
    <n v="39"/>
    <s v="MECANICO"/>
    <s v="ME_01"/>
    <x v="2"/>
    <x v="269"/>
  </r>
  <r>
    <s v="ESPECIFICACIÓN TÉCNICA REVESTIMIENTO INTERIOR DE CAÑERÍAS Y ACCESORIOS"/>
    <n v="0"/>
    <d v="2024-02-23T00:00:00"/>
    <x v="11"/>
    <s v="ESTUDIO"/>
    <n v="26"/>
    <s v="MECANICO"/>
    <s v="ME_01"/>
    <x v="2"/>
    <x v="270"/>
  </r>
  <r>
    <s v="ESPECIFICACIÓN TÉCNICA TECLES ELÉCTRICOS"/>
    <n v="0"/>
    <d v="2024-02-23T00:00:00"/>
    <x v="11"/>
    <s v="ESTUDIO"/>
    <n v="20"/>
    <s v="MECANICO"/>
    <s v="ME_01"/>
    <x v="2"/>
    <x v="271"/>
  </r>
  <r>
    <s v="ESPECIFICACIÓN TÉCNICA DE CALDERERÍA"/>
    <n v="1"/>
    <d v="2024-02-23T00:00:00"/>
    <x v="11"/>
    <s v="ESTUDIO"/>
    <n v="38"/>
    <s v="MECANICO"/>
    <s v="ME_01"/>
    <x v="2"/>
    <x v="272"/>
  </r>
  <r>
    <s v="ESPECIFICACIÓN CORTADOR DE MUESTRAS"/>
    <n v="0"/>
    <d v="2024-02-23T00:00:00"/>
    <x v="11"/>
    <s v="ESTUDIO"/>
    <n v="20"/>
    <s v="MECANICO"/>
    <s v="ME_01"/>
    <x v="2"/>
    <x v="273"/>
  </r>
  <r>
    <s v="ACTUALIZACIÓN HOJA DE DATOS BOMBAS DE IMPULSIÓN UNDERFLOW"/>
    <n v="0"/>
    <d v="2024-02-23T00:00:00"/>
    <x v="14"/>
    <s v="ESTUDIO"/>
    <n v="11"/>
    <s v="MECANICO"/>
    <s v="ME_01"/>
    <x v="2"/>
    <x v="274"/>
  </r>
  <r>
    <s v="ACTUALIZACIÓN HOJA DE DATOS BOMBAS DE IMPULSIÓN AGUA DE SELLO"/>
    <n v="0"/>
    <d v="2024-02-23T00:00:00"/>
    <x v="14"/>
    <s v="ESTUDIO"/>
    <n v="11"/>
    <s v="MECANICO"/>
    <s v="ME_01"/>
    <x v="2"/>
    <x v="275"/>
  </r>
  <r>
    <s v="ACTUALIZACIÓN HOJA DE DATOS BOMBA VERTICAL DE SUMIDERO"/>
    <n v="0"/>
    <d v="2024-02-23T00:00:00"/>
    <x v="14"/>
    <s v="ESTUDIO"/>
    <n v="11"/>
    <s v="MECANICO"/>
    <s v="ME_01"/>
    <x v="2"/>
    <x v="276"/>
  </r>
  <r>
    <s v="ACTUALIZACIÓN HOJA DE DATOS VÁLVULAS DE AGUA"/>
    <n v="1"/>
    <d v="2024-02-23T00:00:00"/>
    <x v="14"/>
    <s v="ESTUDIO"/>
    <n v="15"/>
    <s v="MECANICO"/>
    <s v="ME_01"/>
    <x v="2"/>
    <x v="277"/>
  </r>
  <r>
    <s v="HOJA DE DATOS VÁLVULAS DE CUCHILLO"/>
    <n v="0"/>
    <d v="2024-02-23T00:00:00"/>
    <x v="14"/>
    <s v="ESTUDIO"/>
    <n v="38"/>
    <s v="MECANICO"/>
    <s v="ME_01"/>
    <x v="2"/>
    <x v="278"/>
  </r>
  <r>
    <s v="HOJA DE DATOS VÁLVULAS PINCH Y CONO"/>
    <n v="0"/>
    <d v="2024-02-23T00:00:00"/>
    <x v="14"/>
    <s v="ESTUDIO"/>
    <n v="17"/>
    <s v="MECANICO"/>
    <s v="ME_01"/>
    <x v="2"/>
    <x v="279"/>
  </r>
  <r>
    <s v="HOJA DE DATOS CORTADOR DE MUESTRA"/>
    <n v="0"/>
    <d v="2024-02-23T00:00:00"/>
    <x v="14"/>
    <s v="ESTUDIO"/>
    <n v="13"/>
    <s v="MECANICO"/>
    <s v="ME_01"/>
    <x v="2"/>
    <x v="280"/>
  </r>
  <r>
    <s v="LISTADO TIE INS"/>
    <s v="B"/>
    <d v="2024-02-23T00:00:00"/>
    <x v="8"/>
    <s v="OBSOLETO"/>
    <n v="8"/>
    <s v="MECANICO"/>
    <s v="ME_01"/>
    <x v="2"/>
    <x v="281"/>
  </r>
  <r>
    <s v="LISTADO DE EQUIPOS MECÁNICOS"/>
    <n v="1"/>
    <d v="2024-02-23T00:00:00"/>
    <x v="8"/>
    <s v="ESTUDIO"/>
    <n v="6"/>
    <s v="MECANICO"/>
    <s v="ME_01"/>
    <x v="2"/>
    <x v="282"/>
  </r>
  <r>
    <s v="LISTADO DE VÁLVULAS TODOS LOS SERVICIOS"/>
    <s v="B"/>
    <d v="2024-02-23T00:00:00"/>
    <x v="8"/>
    <s v="OBSOLETO"/>
    <n v="14"/>
    <s v="MECANICO"/>
    <s v="ME_01"/>
    <x v="2"/>
    <x v="283"/>
  </r>
  <r>
    <s v="MEMORIA DE CÁLCULO RED DE AIRE COMPRIMIDO"/>
    <n v="0"/>
    <d v="2024-02-23T00:00:00"/>
    <x v="17"/>
    <s v="ESTUDIO"/>
    <n v="26"/>
    <s v="MECANICO"/>
    <s v="ME_01"/>
    <x v="2"/>
    <x v="284"/>
  </r>
  <r>
    <s v="MEMORIA DE CÁLCULO CAJÓN DE ALIMENTACIÓN A ESPESADOR"/>
    <n v="1"/>
    <d v="2024-02-23T00:00:00"/>
    <x v="17"/>
    <s v="ESTUDIO"/>
    <n v="12"/>
    <s v="MECANICO"/>
    <s v="ME_01"/>
    <x v="2"/>
    <x v="285"/>
  </r>
  <r>
    <s v="MEMORIA DE CÁLCULO VERIFICACIÓN OVERFLOW"/>
    <n v="0"/>
    <d v="2024-02-23T00:00:00"/>
    <x v="17"/>
    <s v="ESTUDIO"/>
    <n v="8"/>
    <s v="MECANICO"/>
    <s v="ME_01"/>
    <x v="2"/>
    <x v="286"/>
  </r>
  <r>
    <s v="ESPESADOR DE CONCENTRADO COLECTIVO DIAGRAMA DE FLUJOS PROCESOS"/>
    <n v="0"/>
    <d v="2024-02-23T00:00:00"/>
    <x v="10"/>
    <s v="ESTUDIO"/>
    <n v="1"/>
    <s v="PROCESOS"/>
    <s v="PR_01"/>
    <x v="2"/>
    <x v="287"/>
  </r>
  <r>
    <s v="ESPESADOR DE CONCENTRADO COLECTIVO ACTUALIZACIÓN ESQUEMA OPERACIÒN DE LA PLANTA"/>
    <n v="0"/>
    <d v="2024-02-23T00:00:00"/>
    <x v="10"/>
    <s v="ESTUDIO"/>
    <n v="1"/>
    <s v="PROCESOS"/>
    <s v="PR_01"/>
    <x v="2"/>
    <x v="288"/>
  </r>
  <r>
    <s v="ACTUALIZACIÓN CRITERIOS DE DISEÑO PROCESOS"/>
    <n v="1"/>
    <d v="2024-02-23T00:00:00"/>
    <x v="12"/>
    <s v="ESTUDIO"/>
    <n v="11"/>
    <s v="PROCESOS"/>
    <s v="PR_01"/>
    <x v="2"/>
    <x v="289"/>
  </r>
  <r>
    <s v="REVISIÓN INFORME BALANCE DE PROCESO (MASA/AGUA)"/>
    <n v="2"/>
    <d v="2024-02-23T00:00:00"/>
    <x v="5"/>
    <s v="ESTUDIO"/>
    <n v="11"/>
    <s v="PROCESOS"/>
    <s v="PR_01"/>
    <x v="2"/>
    <x v="290"/>
  </r>
  <r>
    <s v="REVISIÓN MEMORIA DE CÁLCULO ESPESADOR DE CONCENTRADO COLECTIVO"/>
    <n v="0"/>
    <d v="2024-02-23T00:00:00"/>
    <x v="17"/>
    <s v="ESTUDIO"/>
    <n v="9"/>
    <s v="PROCESOS"/>
    <s v="PR_01"/>
    <x v="2"/>
    <x v="291"/>
  </r>
  <r>
    <m/>
    <m/>
    <m/>
    <x v="0"/>
    <m/>
    <m/>
    <m/>
    <m/>
    <x v="0"/>
    <x v="0"/>
  </r>
  <r>
    <s v="CORREO RESPALDO - RV INFORMACIÓN VISITA A TERRENO 2902  DOC1002164805  RFP MONTAJE ESPESADOR DE CABEZA PMFC -DAND"/>
    <s v="-"/>
    <d v="2024-02-27T00:00:00"/>
    <x v="1"/>
    <s v="ESTUDIO"/>
    <s v="-"/>
    <s v="GENERAL"/>
    <m/>
    <x v="1"/>
    <x v="0"/>
  </r>
  <r>
    <s v="INSTRUCTIVO PARA VISITA A TERRENO DEL PROCESO"/>
    <n v="0"/>
    <d v="2024-02-27T00:00:00"/>
    <x v="4"/>
    <s v="ESTUDIO"/>
    <n v="4"/>
    <s v="GENERAL"/>
    <m/>
    <x v="1"/>
    <x v="0"/>
  </r>
  <r>
    <s v="MAPA PMFC"/>
    <s v="-"/>
    <d v="2024-02-27T00:00:00"/>
    <x v="28"/>
    <s v="ESTUDIO"/>
    <n v="1"/>
    <s v="GENERAL"/>
    <m/>
    <x v="1"/>
    <x v="0"/>
  </r>
  <r>
    <m/>
    <m/>
    <m/>
    <x v="0"/>
    <m/>
    <m/>
    <m/>
    <m/>
    <x v="0"/>
    <x v="0"/>
  </r>
  <r>
    <s v="CORREO RESPALDO - RV INFORMACIÓN 2DA VISITA A TERRENO  DOC1002164805  MONTAJE ESPESADOR DE CABEZA PMFC -DAND"/>
    <s v="-"/>
    <d v="2024-02-29T00:00:00"/>
    <x v="1"/>
    <s v="ESTUDIO"/>
    <s v="-"/>
    <s v="GENERAL"/>
    <m/>
    <x v="1"/>
    <x v="0"/>
  </r>
  <r>
    <s v="INSTRUCTIVO PARA 2NDA VISITA A TERRENO DEL PROCESO"/>
    <n v="0"/>
    <d v="2024-02-29T00:00:00"/>
    <x v="4"/>
    <s v="ESTUDIO"/>
    <n v="4"/>
    <s v="GENERAL"/>
    <m/>
    <x v="1"/>
    <x v="0"/>
  </r>
  <r>
    <m/>
    <m/>
    <m/>
    <x v="0"/>
    <m/>
    <m/>
    <m/>
    <m/>
    <x v="0"/>
    <x v="0"/>
  </r>
  <r>
    <s v="CORREO RESPALDO - RV NUEVA FECHA RECEPCIÓN DE CONSULTAS DOC1002164805  MONTAJE ESPESADOR DE CABEZA PMFC -DAND"/>
    <s v="-"/>
    <d v="2024-03-01T00:00:00"/>
    <x v="1"/>
    <s v="ESTUDIO"/>
    <s v="-"/>
    <s v="GENERAL"/>
    <m/>
    <x v="1"/>
    <x v="0"/>
  </r>
  <r>
    <s v="FORMATO CONSULTAS BASES LICITACION"/>
    <s v="-"/>
    <d v="2024-03-01T00:00:00"/>
    <x v="2"/>
    <s v="ESTUDIO"/>
    <s v="-"/>
    <s v="CONSULTAS"/>
    <m/>
    <x v="1"/>
    <x v="0"/>
  </r>
  <r>
    <m/>
    <m/>
    <m/>
    <x v="0"/>
    <m/>
    <m/>
    <m/>
    <m/>
    <x v="0"/>
    <x v="0"/>
  </r>
  <r>
    <s v="CORREO RESPALDO - RV PARCIAL DE RESPUESTAS PARTE 1 DOC1002164805 MONTAJE ESPESADOR DE CABEZA PMFC -DAND"/>
    <s v="-"/>
    <d v="2024-03-27T00:00:00"/>
    <x v="1"/>
    <s v="ESTUDIO"/>
    <s v="-"/>
    <s v="GENERAL"/>
    <m/>
    <x v="1"/>
    <x v="0"/>
  </r>
  <r>
    <s v="RESPUESTA LICITACION MONTAJES ESPESADOR CABEZA (PARTE 1) 27-03-24"/>
    <s v="-"/>
    <d v="2024-03-27T00:00:00"/>
    <x v="8"/>
    <s v="ESTUDIO"/>
    <s v="-"/>
    <s v="CONSULTAS"/>
    <m/>
    <x v="1"/>
    <x v="0"/>
  </r>
  <r>
    <s v="HOJA DE DATOS INSTRUMENTOS DE NIVEL"/>
    <n v="1"/>
    <d v="2024-03-27T00:00:00"/>
    <x v="14"/>
    <s v="ESTUDIO"/>
    <n v="13"/>
    <s v="AUTOMATIZACION"/>
    <s v="Antecedentes"/>
    <x v="2"/>
    <x v="48"/>
  </r>
  <r>
    <s v="ESQUEMA DE PINTURA"/>
    <s v="-"/>
    <d v="2024-03-27T00:00:00"/>
    <x v="8"/>
    <s v="ESTUDIO"/>
    <n v="1"/>
    <s v="MECANICO"/>
    <s v="Antecedentes"/>
    <x v="3"/>
    <x v="1"/>
  </r>
  <r>
    <s v="INSTALACION DE FAENA ANDINA - LAMINA 1 DE 3"/>
    <s v="-"/>
    <d v="2024-03-27T00:00:00"/>
    <x v="10"/>
    <s v="ESTUDIO"/>
    <n v="1"/>
    <s v="GENERAL"/>
    <s v="Antecedentes"/>
    <x v="1"/>
    <x v="1"/>
  </r>
  <r>
    <s v="INSTALACION DE FAENA ANDINA - LAMINA 2 DE 3"/>
    <s v="-"/>
    <d v="2024-03-27T00:00:00"/>
    <x v="10"/>
    <s v="ESTUDIO"/>
    <n v="1"/>
    <s v="GENERAL"/>
    <s v="Antecedentes"/>
    <x v="1"/>
    <x v="1"/>
  </r>
  <r>
    <s v="INSTALACION DE FAENA ANDINA - LAMINA 3 DE 3"/>
    <s v="-"/>
    <d v="2024-03-27T00:00:00"/>
    <x v="10"/>
    <s v="ESTUDIO"/>
    <n v="1"/>
    <s v="GENERAL"/>
    <s v="Antecedentes"/>
    <x v="1"/>
    <x v="1"/>
  </r>
  <r>
    <s v="ALTERNATIVAS A UBICACIÓN - INSTALACION DE FAENA"/>
    <s v="-"/>
    <d v="2024-03-27T00:00:00"/>
    <x v="29"/>
    <s v="ESTUDIO"/>
    <n v="2"/>
    <s v="GENERAL"/>
    <s v="Antecedentes"/>
    <x v="1"/>
    <x v="0"/>
  </r>
  <r>
    <s v="THICKENER/CLARIFIER MO 25M HRT - PRELIMINARY PACKING LIST"/>
    <n v="0"/>
    <d v="2024-03-27T00:00:00"/>
    <x v="8"/>
    <s v="ESTUDIO"/>
    <n v="1"/>
    <s v="MECANICO"/>
    <s v="Antecedentes"/>
    <x v="3"/>
    <x v="1"/>
  </r>
  <r>
    <s v="EQUIPMENT GENERAL ARRANGEMENT ESPESADOR CONCENTRADO COLECTIVO HIGH RATE THICKENER 25M"/>
    <n v="0"/>
    <d v="2024-03-27T00:00:00"/>
    <x v="10"/>
    <s v="ESTUDIO"/>
    <n v="1"/>
    <s v="MECANICO"/>
    <s v="Antecedentes"/>
    <x v="2"/>
    <x v="1"/>
  </r>
  <r>
    <s v="ASSMEBLY DRAWING WELDED TANK ASSEMBLY 0030-TANKAGE COMPONENT WELDED TANK DESIGN THICKENERS (2 LAMINAS)"/>
    <n v="0"/>
    <d v="2024-03-27T00:00:00"/>
    <x v="10"/>
    <s v="ESTUDIO"/>
    <n v="2"/>
    <s v="MECANICO"/>
    <s v="Antecedentes"/>
    <x v="2"/>
    <x v="1"/>
  </r>
  <r>
    <s v="FOUNDATION AN LOAD PLAN ESPESADOR CONCENTRADO COLECTIVO FOUNDATION LOADS HIGH RATE THICKENER 25M (2 LAMINAS)"/>
    <s v="B"/>
    <d v="2024-03-27T00:00:00"/>
    <x v="10"/>
    <s v="N. REVISION"/>
    <n v="2"/>
    <s v="MECANICO"/>
    <s v="Antecedentes"/>
    <x v="2"/>
    <x v="1"/>
  </r>
  <r>
    <s v="ASSEMBLY DRAWING BRIDGE ASSEMBLY 0050 - BRIDGE COMPONENTS BRIDGE DESIGNS THICKENERS (2 LAMINAS)"/>
    <n v="0"/>
    <d v="2024-03-27T00:00:00"/>
    <x v="10"/>
    <s v="ESTUDIO"/>
    <n v="2"/>
    <s v="MECANICO"/>
    <s v="Antecedentes"/>
    <x v="2"/>
    <x v="1"/>
  </r>
  <r>
    <s v="ASSEMBLY DRAWING DRIVE ASSEMBLY 0060 - RR20000 - 600 LIFT TOP PIN MEGA HYDRAULIC DRIVE  THICKENERS (2 LAMINAS)"/>
    <n v="0"/>
    <d v="2024-03-27T00:00:00"/>
    <x v="10"/>
    <s v="ESTUDIO"/>
    <n v="2"/>
    <s v="MECANICO"/>
    <s v="Antecedentes"/>
    <x v="2"/>
    <x v="1"/>
  </r>
  <r>
    <s v="REVESTIMIENTOS CON EMULSIONES BITUMINOSAS"/>
    <s v="-"/>
    <d v="2024-03-27T00:00:00"/>
    <x v="18"/>
    <s v="ESTUDIO"/>
    <n v="34"/>
    <s v="GENERAL"/>
    <s v="Antecedentes"/>
    <x v="1"/>
    <x v="0"/>
  </r>
  <r>
    <s v="UBICACIÓN BODEGA Y PATIO DE ACOPIO"/>
    <s v="-"/>
    <d v="2024-03-27T00:00:00"/>
    <x v="29"/>
    <s v="ESTUDIO"/>
    <n v="2"/>
    <s v="GENERAL"/>
    <s v="Antecedentes"/>
    <x v="1"/>
    <x v="0"/>
  </r>
  <r>
    <m/>
    <m/>
    <m/>
    <x v="0"/>
    <m/>
    <m/>
    <m/>
    <m/>
    <x v="0"/>
    <x v="0"/>
  </r>
  <r>
    <s v="CORREO RESPALDO - RV 1ERA RONDA DE RESPUESTAS PARTE 2  DOC1002164805  MONTAJE ESPESADOR DE CABEZA PMFC -DAND"/>
    <s v="-"/>
    <d v="2024-04-09T00:00:00"/>
    <x v="1"/>
    <s v="ESTUDIO"/>
    <s v="-"/>
    <s v="GENERAL"/>
    <m/>
    <x v="1"/>
    <x v="0"/>
  </r>
  <r>
    <s v="RESPUESTA LICITACION MONTAJES ESPESADOR CABEZA (PARTE 2) 09-04-24 - 1ERA RONDA"/>
    <s v="-"/>
    <d v="2024-04-09T00:00:00"/>
    <x v="8"/>
    <s v="ESTUDIO"/>
    <s v="-"/>
    <s v="CONSULTAS"/>
    <m/>
    <x v="1"/>
    <x v="0"/>
  </r>
  <r>
    <s v="FORMULARIO ECONOMICO - ECO-01 - ITEMIZADO DE PRESUPUESTO"/>
    <n v="1"/>
    <d v="2024-04-09T00:00:00"/>
    <x v="2"/>
    <s v="OBSOLETO"/>
    <s v="-"/>
    <s v="ECONOMICO"/>
    <m/>
    <x v="1"/>
    <x v="0"/>
  </r>
  <r>
    <s v="FORMULARIO ECONOMICO - ECO-01A - ITEMIZADO DE PRESUPUESTO DESGOLSADO"/>
    <n v="1"/>
    <d v="2024-04-09T00:00:00"/>
    <x v="2"/>
    <s v="OBSOLETO"/>
    <s v="-"/>
    <s v="ECONOMICO"/>
    <m/>
    <x v="1"/>
    <x v="0"/>
  </r>
  <r>
    <s v="INFORME MECÁNICA DE SUELOS PLATAFORMA DE NUEVO ESPESADOR"/>
    <s v="P"/>
    <d v="2024-04-09T00:00:00"/>
    <x v="5"/>
    <s v="ESTUDIO"/>
    <n v="42"/>
    <s v="MECANICO"/>
    <s v="Aclaraciones Restantes 08 Abril24"/>
    <x v="2"/>
    <x v="1"/>
  </r>
  <r>
    <s v="PLANO CANALIZACIÓN (DESDE GEN A CCM) PLANTA"/>
    <s v="B"/>
    <d v="2024-04-09T00:00:00"/>
    <x v="10"/>
    <s v="ESTUDIO"/>
    <n v="1"/>
    <s v="ELECTRICO"/>
    <s v="Aclaraciones Restantes 08 Abril24"/>
    <x v="2"/>
    <x v="136"/>
  </r>
  <r>
    <s v="CUBICACIÓN DE MATERIALES DE INSTRUMENTACIÓN"/>
    <n v="0"/>
    <d v="2024-04-09T00:00:00"/>
    <x v="13"/>
    <s v="ESTUDIO"/>
    <n v="8"/>
    <s v="AUTOMATIZACION"/>
    <s v="Aclaraciones Restantes 08 Abril24"/>
    <x v="2"/>
    <x v="45"/>
  </r>
  <r>
    <s v="ESPECIFICACIÓN TÉCNICA SISTEMA DE ILUMINACIÓN"/>
    <n v="0"/>
    <d v="2024-04-09T00:00:00"/>
    <x v="11"/>
    <s v="ESTUDIO"/>
    <n v="12"/>
    <s v="ELECTRICO"/>
    <s v="Aclaraciones Restantes 08 Abril24"/>
    <x v="2"/>
    <x v="162"/>
  </r>
  <r>
    <s v="HOJA DE DATOS INSTRUMENTOS DE DENSIDAD"/>
    <n v="0"/>
    <d v="2024-04-09T00:00:00"/>
    <x v="14"/>
    <s v="ESTUDIO"/>
    <n v="8"/>
    <s v="AUTOMATIZACION"/>
    <s v="Aclaraciones Restantes 08 Abril24"/>
    <x v="2"/>
    <x v="292"/>
  </r>
  <r>
    <s v="HOJA DE DATOS CORTADOR DE MUESTRA"/>
    <n v="0"/>
    <d v="2024-04-09T00:00:00"/>
    <x v="14"/>
    <s v="ESTUDIO"/>
    <n v="13"/>
    <s v="MECANICO"/>
    <s v="Aclaraciones Restantes 08 Abril24"/>
    <x v="2"/>
    <x v="280"/>
  </r>
  <r>
    <s v="MANUAL DE OPERACIONES Y PUESTA EN MARCHA"/>
    <n v="0"/>
    <d v="2024-04-09T00:00:00"/>
    <x v="5"/>
    <s v="ESTUDIO"/>
    <n v="82"/>
    <s v="GENERAL"/>
    <s v="Aclaraciones Restantes 08 Abril24"/>
    <x v="2"/>
    <x v="1"/>
  </r>
  <r>
    <s v="SONDAJE Y ANÁLISIS DE SUELO – ESPESADOR DE CABEZA SONDAJE N°2"/>
    <n v="0"/>
    <d v="2024-04-09T00:00:00"/>
    <x v="5"/>
    <s v="ESTUDIO"/>
    <n v="7"/>
    <s v="MECANICO"/>
    <s v="Aclaraciones Restantes 08 Abril24"/>
    <x v="2"/>
    <x v="1"/>
  </r>
  <r>
    <s v="SONDAJE Y ANÁLISIS DE SUELO – ESPESADOR DE CABEZA SONDAJE N°3"/>
    <n v="0"/>
    <d v="2024-04-09T00:00:00"/>
    <x v="5"/>
    <s v="ESTUDIO"/>
    <n v="5"/>
    <s v="MECANICO"/>
    <s v="Aclaraciones Restantes 08 Abril24"/>
    <x v="2"/>
    <x v="1"/>
  </r>
  <r>
    <s v="LISTADO DE PLANOS Y DOCUMENTOS (REV. 21-02-2024)"/>
    <s v="-"/>
    <d v="2024-04-09T00:00:00"/>
    <x v="8"/>
    <s v="N. REVISION"/>
    <s v="-"/>
    <s v="GENERAL"/>
    <s v="Aclaraciones Restantes 08 Abril24"/>
    <x v="3"/>
    <x v="1"/>
  </r>
  <r>
    <s v="BASES ESPECIALES PARA CONTRATOS DE CONSTRUCCIÓN"/>
    <n v="0"/>
    <d v="2024-04-09T00:00:00"/>
    <x v="3"/>
    <s v="ESTUDIO"/>
    <n v="89"/>
    <s v="ADMINISTRACION"/>
    <s v="Aclaraciones Restantes 08 Abril24"/>
    <x v="1"/>
    <x v="0"/>
  </r>
  <r>
    <s v="ESQUEMA DE PINTURA DE CAÑERIAS CORRESPONDIENTES A ESPESADOR DE CABEZA PMFC"/>
    <s v="-"/>
    <d v="2024-04-09T00:00:00"/>
    <x v="5"/>
    <s v="ESTUDIO"/>
    <n v="1"/>
    <s v="MECANICO"/>
    <s v="Aclaraciones Restantes 08 Abril24"/>
    <x v="3"/>
    <x v="1"/>
  </r>
  <r>
    <s v="ITEMIZADO - DETALLE DE PARTIDAS"/>
    <n v="0"/>
    <d v="2024-04-09T00:00:00"/>
    <x v="30"/>
    <s v="ESTUDIO"/>
    <s v="-"/>
    <s v="ECONOMICO"/>
    <s v="Aclaraciones Restantes 08 Abril24"/>
    <x v="1"/>
    <x v="0"/>
  </r>
  <r>
    <s v="IMG_20210324_111518_125"/>
    <s v="-"/>
    <d v="2024-04-09T00:00:00"/>
    <x v="31"/>
    <s v="-"/>
    <n v="1"/>
    <s v="GENERAL"/>
    <s v="Aclaraciones Restantes 08 Abril24"/>
    <x v="1"/>
    <x v="0"/>
  </r>
  <r>
    <s v="IMG_20210324_114136_904"/>
    <s v="-"/>
    <d v="2024-04-09T00:00:00"/>
    <x v="31"/>
    <s v="-"/>
    <n v="1"/>
    <s v="GENERAL"/>
    <s v="Aclaraciones Restantes 08 Abril24"/>
    <x v="1"/>
    <x v="0"/>
  </r>
  <r>
    <s v="MAPA DE RIESGO RUIDO AMBIENTAL 2022"/>
    <s v="-"/>
    <d v="2024-04-09T00:00:00"/>
    <x v="18"/>
    <s v="ESTUDIO"/>
    <n v="5"/>
    <s v="SUSTENTABILIDAD"/>
    <s v="Aclaraciones Restantes 08 Abril24"/>
    <x v="1"/>
    <x v="0"/>
  </r>
  <r>
    <s v="ESPECIFICACION FABRICACION, IDENTIFICACION Y MATERIALES DE CAÑERIAS"/>
    <n v="2"/>
    <d v="2024-04-09T00:00:00"/>
    <x v="11"/>
    <s v="ESTUDIO"/>
    <n v="84"/>
    <s v="CAÑERIAS"/>
    <s v="Aclaraciones Restantes 08 Abril24"/>
    <x v="2"/>
    <x v="1"/>
  </r>
  <r>
    <s v="ESPECIFICACION HORMIGON ESTRUCTURAL, FABRICACION Y MONTAJE DE ESTRUCTURAS DE ACERO Y REVESTIMIENTOS ANTICORROSIVOS"/>
    <n v="2"/>
    <d v="2024-04-09T00:00:00"/>
    <x v="11"/>
    <s v="ESTUDIO"/>
    <n v="210"/>
    <s v="ESTRUCTURA"/>
    <s v="Aclaraciones Restantes 08 Abril24"/>
    <x v="2"/>
    <x v="1"/>
  </r>
  <r>
    <s v="CRITERIO DISEÑO CAÑERÍAS"/>
    <n v="1"/>
    <d v="2024-04-09T00:00:00"/>
    <x v="12"/>
    <s v="ESTUDIO"/>
    <n v="152"/>
    <s v="CAÑERIAS"/>
    <s v="Aclaraciones Restantes 08 Abril24"/>
    <x v="2"/>
    <x v="1"/>
  </r>
  <r>
    <s v="ESPECIFICACIÓN FABRICACIÓN, IDENTIFICACIÓN Y MATERIALES DE CAÑERÍAS"/>
    <n v="2"/>
    <d v="2024-04-09T00:00:00"/>
    <x v="11"/>
    <s v="ESTUDIO"/>
    <n v="74"/>
    <s v="CAÑERIAS"/>
    <s v="Aclaraciones Restantes 08 Abril24"/>
    <x v="2"/>
    <x v="1"/>
  </r>
  <r>
    <s v="PROCEDIMIENTO DE SEGURIDAD Y SALUD OCUPACIONAL APLICABLE A LAS EMPRESAS CONTRATISTAS “RESEC DE SEGURIDAD Y SALUD EN EL TRABAJO”"/>
    <n v="9"/>
    <d v="2024-04-09T00:00:00"/>
    <x v="7"/>
    <s v="ESTUDIO"/>
    <n v="12"/>
    <s v="SSO"/>
    <s v="Aclaraciones Restantes 08 Abril24"/>
    <x v="1"/>
    <x v="0"/>
  </r>
  <r>
    <s v="DATA SHEET 25M HIGH RATE THICKENER (HRT)"/>
    <n v="1"/>
    <d v="2024-04-09T00:00:00"/>
    <x v="14"/>
    <s v="ESTUDIO"/>
    <n v="1"/>
    <s v="MECANICO"/>
    <s v="Aclaraciones Restantes 08 Abril24/Entregables METSO"/>
    <x v="2"/>
    <x v="1"/>
  </r>
  <r>
    <s v="SOARE SPARTS LIST"/>
    <s v="A"/>
    <d v="2024-04-09T00:00:00"/>
    <x v="8"/>
    <s v="ESTUDIO"/>
    <n v="1"/>
    <s v="MECANICO"/>
    <s v="Aclaraciones Restantes 08 Abril24/Entregables METSO"/>
    <x v="2"/>
    <x v="1"/>
  </r>
  <r>
    <s v="ESQUEMA DE PINTURA PROYECTO ESPESADOR HRT 25 MT CODELCO"/>
    <n v="1"/>
    <d v="2024-04-09T00:00:00"/>
    <x v="5"/>
    <s v="ESTUDIO"/>
    <n v="2"/>
    <s v="MECANICO"/>
    <s v="Aclaraciones Restantes 08 Abril24/Entregables METSO"/>
    <x v="3"/>
    <x v="1"/>
  </r>
  <r>
    <s v="ASSMEBLY DRAWING WELDED TANK ASSEMBLY 0030-TANKAGE COMPONENT WELDED TANK DESIGN THICKENERS (2 LAMINAS)"/>
    <n v="0"/>
    <d v="2024-04-09T00:00:00"/>
    <x v="10"/>
    <s v="ESTUDIO"/>
    <n v="2"/>
    <s v="MECANICO"/>
    <s v="Aclaraciones Restantes 08 Abril24/Entregables METSO"/>
    <x v="2"/>
    <x v="1"/>
  </r>
  <r>
    <s v="ASSMEBLY DRAWING MECHANISM ASSEMBLY 0070 - MECHANISM COMPONENTS MECHANISM DESIGNS THICKENERS (2 LAMINAS)"/>
    <n v="0"/>
    <d v="2024-04-09T00:00:00"/>
    <x v="10"/>
    <s v="ESTUDIO"/>
    <n v="2"/>
    <s v="MECANICO"/>
    <s v="Aclaraciones Restantes 08 Abril24/Entregables METSO"/>
    <x v="2"/>
    <x v="1"/>
  </r>
  <r>
    <s v="ASSEMBLY DRAWING BRIDGE ASSEMBLY 0050 - BRIDGE COMPONENTS BRIDGE DESIGNS THICKENERS (2 LAMINAS)"/>
    <n v="0"/>
    <d v="2024-04-09T00:00:00"/>
    <x v="10"/>
    <s v="ESTUDIO"/>
    <n v="2"/>
    <s v="MECANICO"/>
    <s v="Aclaraciones Restantes 08 Abril24/Entregables METSO"/>
    <x v="2"/>
    <x v="1"/>
  </r>
  <r>
    <s v="ASSEMBLY DRAWING DRIVE ASSEMBLY 0060 - RR20000 - 600 LIFT TOP PIN MEGA HYDRAULIC DRIVE  THICKENERS (2 LAMINAS)"/>
    <n v="0"/>
    <d v="2024-04-09T00:00:00"/>
    <x v="10"/>
    <s v="ESTUDIO"/>
    <n v="2"/>
    <s v="MECANICO"/>
    <s v="Aclaraciones Restantes 08 Abril24/Entregables METSO"/>
    <x v="2"/>
    <x v="1"/>
  </r>
  <r>
    <s v="MANUFACTURING DRAWING DEAERATION TANK ASSEMBLY DA275 FEED SYSTEM"/>
    <n v="0"/>
    <d v="2024-04-09T00:00:00"/>
    <x v="10"/>
    <s v="ESTUDIO"/>
    <n v="1"/>
    <s v="MECANICO"/>
    <s v="Aclaraciones Restantes 08 Abril24/Entregables METSO"/>
    <x v="2"/>
    <x v="1"/>
  </r>
  <r>
    <s v="MANUFACTURING DRAWING FEED ASSEMBLY TRUSS BRIDGE FEED SYSTEM THICKENERS (2 LAMINAS)"/>
    <n v="0"/>
    <d v="2024-04-09T00:00:00"/>
    <x v="10"/>
    <s v="ESTUDIO"/>
    <n v="2"/>
    <s v="MECANICO"/>
    <s v="Aclaraciones Restantes 08 Abril24/Entregables METSO"/>
    <x v="2"/>
    <x v="1"/>
  </r>
  <r>
    <s v="MANUFACTURING DRAWING FROTH SPRAY ASSEMBLY FEED SYSTEM THICKENERS"/>
    <n v="0"/>
    <d v="2024-04-09T00:00:00"/>
    <x v="10"/>
    <s v="ESTUDIO"/>
    <n v="1"/>
    <s v="MECANICO"/>
    <s v="Aclaraciones Restantes 08 Abril24/Entregables METSO"/>
    <x v="2"/>
    <x v="1"/>
  </r>
  <r>
    <s v="ASSEMBLY DRAWING SPRAY PIPE ASSEMBLY DA725 FEED SYSTEM THICKENERS"/>
    <n v="0"/>
    <d v="2024-04-09T00:00:00"/>
    <x v="10"/>
    <s v="ESTUDIO"/>
    <n v="1"/>
    <s v="MECANICO"/>
    <s v="Aclaraciones Restantes 08 Abril24/Entregables METSO"/>
    <x v="2"/>
    <x v="1"/>
  </r>
  <r>
    <s v="DOCUMENT SCHEDULE "/>
    <s v="B"/>
    <d v="2024-04-09T00:00:00"/>
    <x v="8"/>
    <s v="ESTUDIO"/>
    <n v="2"/>
    <s v="GENERAL"/>
    <s v="Aclaraciones Restantes 08 Abril24/Entregables METSO"/>
    <x v="3"/>
    <x v="1"/>
  </r>
  <r>
    <s v="HOJA DE DATOS MOTOR TRIFASICO DE INDUCCION - ROTOR DE JAULA"/>
    <s v="-"/>
    <d v="2024-04-09T00:00:00"/>
    <x v="14"/>
    <s v="ESTUDIO"/>
    <n v="6"/>
    <s v="MECANICO"/>
    <s v="Aclaraciones Restantes 08 Abril24/Entregables METSO"/>
    <x v="2"/>
    <x v="1"/>
  </r>
  <r>
    <s v="LISTA ENTREGABLES"/>
    <s v="-"/>
    <d v="2024-04-09T00:00:00"/>
    <x v="8"/>
    <s v="ESTUDIO"/>
    <s v="-"/>
    <s v="GENERAL"/>
    <s v="Aclaraciones Restantes 08 Abril24/Entregables METSO"/>
    <x v="3"/>
    <x v="1"/>
  </r>
  <r>
    <s v="METSO OUTOTEC THICKENING - FIRM PROPOSAL - TECHNICAL QUOTATION "/>
    <n v="2"/>
    <d v="2024-04-09T00:00:00"/>
    <x v="5"/>
    <s v="ESTUDIO"/>
    <n v="17"/>
    <s v="GENERAL"/>
    <s v="Aclaraciones Restantes 08 Abril24/Entregables METSO"/>
    <x v="3"/>
    <x v="1"/>
  </r>
  <r>
    <s v="METSO OUTOTEC TECHNICAL DESCRIPTION"/>
    <n v="2"/>
    <d v="2024-04-09T00:00:00"/>
    <x v="5"/>
    <s v="ESTUDIO"/>
    <n v="9"/>
    <s v="GENERAL"/>
    <s v="Aclaraciones Restantes 08 Abril24/Entregables METSO"/>
    <x v="3"/>
    <x v="1"/>
  </r>
  <r>
    <s v="ESPESADOR CONCENTRADO COLECTIVO PMFC - RFQ TECHNICAL CLARIFICATION - EXCEPTION LIST"/>
    <n v="3"/>
    <d v="2024-04-09T00:00:00"/>
    <x v="8"/>
    <s v="ESTUDIO"/>
    <s v="-"/>
    <s v="GENERAL"/>
    <s v="Aclaraciones Restantes 08 Abril24/Entregables METSO"/>
    <x v="3"/>
    <x v="1"/>
  </r>
  <r>
    <s v="METSO CHILE SPA ESPESADOR 25 MT - PLANO DE ARMADO FEEDING SYSTEM"/>
    <n v="0"/>
    <d v="2024-04-09T00:00:00"/>
    <x v="10"/>
    <s v="ESTUDIO"/>
    <n v="1"/>
    <s v="MECANICO"/>
    <s v="Aclaraciones Restantes 08 Abril24/Entregables METSO"/>
    <x v="2"/>
    <x v="1"/>
  </r>
  <r>
    <s v="METSO CHILE SPA ESPESADOR 25 MT - PLANO DE ARMADO RAKE MECHANISM"/>
    <n v="0"/>
    <d v="2024-04-09T00:00:00"/>
    <x v="10"/>
    <s v="ESTUDIO"/>
    <n v="1"/>
    <s v="MECANICO"/>
    <s v="Aclaraciones Restantes 08 Abril24/Entregables METSO"/>
    <x v="2"/>
    <x v="1"/>
  </r>
  <r>
    <s v="METSO CHILE SPA ESPESADOR 25 MT - PLANO DE MONTAJE FEED SYSTEM"/>
    <n v="0"/>
    <d v="2024-04-09T00:00:00"/>
    <x v="10"/>
    <s v="ESTUDIO"/>
    <n v="1"/>
    <s v="MECANICO"/>
    <s v="Aclaraciones Restantes 08 Abril24/Entregables METSO"/>
    <x v="2"/>
    <x v="1"/>
  </r>
  <r>
    <s v="METSO CHILE SPA ESPESADOR 25 MT - PLANO DE MONTAJE RAKE MECHANISM"/>
    <n v="0"/>
    <d v="2024-04-09T00:00:00"/>
    <x v="10"/>
    <s v="ESTUDIO"/>
    <n v="1"/>
    <s v="MECANICO"/>
    <s v="Aclaraciones Restantes 08 Abril24/Entregables METSO"/>
    <x v="2"/>
    <x v="1"/>
  </r>
  <r>
    <s v="METSO CHILE SPA ESPESADOR 25 MT - PLANO DE MONTAJE OPERATION TANK ASSEMBLY"/>
    <n v="0"/>
    <d v="2024-04-09T00:00:00"/>
    <x v="10"/>
    <s v="ESTUDIO"/>
    <n v="1"/>
    <s v="MECANICO"/>
    <s v="Aclaraciones Restantes 08 Abril24/Entregables METSO"/>
    <x v="2"/>
    <x v="1"/>
  </r>
  <r>
    <s v="METSO CHILE SPA ESPESADOR 25 MT - PLANO DE MONTAJE DRIVE"/>
    <n v="0"/>
    <d v="2024-04-09T00:00:00"/>
    <x v="10"/>
    <s v="ESTUDIO"/>
    <n v="1"/>
    <s v="MECANICO"/>
    <s v="Aclaraciones Restantes 08 Abril24/Entregables METSO"/>
    <x v="2"/>
    <x v="1"/>
  </r>
  <r>
    <s v="FUNCTION DESCRIPTION CONTROL FUNCTIONAL DESCRIPTION"/>
    <n v="0"/>
    <d v="2024-04-09T00:00:00"/>
    <x v="5"/>
    <s v="ESTUDIO"/>
    <n v="23"/>
    <s v="MECANICO"/>
    <s v="Aclaraciones Restantes 08 Abril24/Entregables METSO"/>
    <x v="3"/>
    <x v="1"/>
  </r>
  <r>
    <s v="LIST OF ELECTRICAL EQUIPMENT CONCENTRATOR PLANT THICKHENING THICKENER, HRT, 25M, COPPER CONCENTRATE (TH001)"/>
    <n v="0"/>
    <d v="2024-04-09T00:00:00"/>
    <x v="8"/>
    <s v="ESTUDIO"/>
    <n v="1"/>
    <s v="ELECTRICO"/>
    <s v="Aclaraciones Restantes 08 Abril24/Entregables METSO"/>
    <x v="2"/>
    <x v="1"/>
  </r>
  <r>
    <s v="P&amp;I DIAGRAM CONCENTRATOR PLANT THICKHENING THICKENER, HRT, 25M, COPPER CONCENTRATE (2 LAMINAS)"/>
    <n v="0"/>
    <d v="2024-04-09T00:00:00"/>
    <x v="15"/>
    <s v="ESTUDIO"/>
    <n v="2"/>
    <s v="PROCESOS"/>
    <s v="Aclaraciones Restantes 08 Abril24/Entregables METSO"/>
    <x v="2"/>
    <x v="1"/>
  </r>
  <r>
    <s v="SINGLE LINE DIAGRAM CONCENTRATOR PLANT THICKHENING THICKENER, HRT, 25M, COPPER CONCENTRATE (TH001)"/>
    <n v="0"/>
    <d v="2024-04-09T00:00:00"/>
    <x v="10"/>
    <s v="ESTUDIO"/>
    <n v="1"/>
    <s v="ELECTRICO"/>
    <s v="Aclaraciones Restantes 08 Abril24/Entregables METSO"/>
    <x v="2"/>
    <x v="1"/>
  </r>
  <r>
    <s v="CABLE LIST CONCENTRATOR PLANT THICKHENING THICKENER, HRT, 25M, COPPER CONCENTRATE (TH001)"/>
    <n v="0"/>
    <d v="2024-04-09T00:00:00"/>
    <x v="8"/>
    <s v="ESTUDIO"/>
    <n v="2"/>
    <s v="ELECTRICO"/>
    <s v="Aclaraciones Restantes 08 Abril24/Entregables METSO"/>
    <x v="2"/>
    <x v="1"/>
  </r>
  <r>
    <s v="CABLE CONNECTION DIAGRAM CONCENTRATOR PLANT THICKHENING THICKENER, HRT, 25M, COPPER CONCENTRATE (TH001)"/>
    <n v="0"/>
    <d v="2024-04-09T00:00:00"/>
    <x v="22"/>
    <s v="ESTUDIO"/>
    <n v="8"/>
    <s v="ELECTRICO"/>
    <s v="Aclaraciones Restantes 08 Abril24/Entregables METSO"/>
    <x v="1"/>
    <x v="0"/>
  </r>
  <r>
    <s v="LIST OF ELECTRICAL CONSUMERS"/>
    <n v="0"/>
    <d v="2024-04-09T00:00:00"/>
    <x v="8"/>
    <s v="ESTUDIO"/>
    <n v="2"/>
    <s v="ELECTRICO"/>
    <s v="Aclaraciones Restantes 08 Abril24/Entregables METSO"/>
    <x v="2"/>
    <x v="1"/>
  </r>
  <r>
    <s v="INSTRUMENT LIST"/>
    <n v="0"/>
    <d v="2024-04-09T00:00:00"/>
    <x v="8"/>
    <s v="ESTUDIO"/>
    <n v="2"/>
    <s v="AUTOMATIZACION"/>
    <s v="Aclaraciones Restantes 08 Abril24/Entregables METSO"/>
    <x v="2"/>
    <x v="1"/>
  </r>
  <r>
    <s v="CABINET AND PANEL ARRANGMENT DRAWING CONCENTRATOR PLANT THICKHENING THICKENER, HRT, 25M, COPPER CONCENTRATE, CONTROL PANEL (TH001-LCP01) LAYOUT, ISOMETRIC"/>
    <s v="A"/>
    <d v="2024-04-09T00:00:00"/>
    <x v="22"/>
    <s v="ESTUDIO"/>
    <n v="11"/>
    <s v="ELECTRICO"/>
    <s v="Aclaraciones Restantes 08 Abril24/Entregables METSO"/>
    <x v="1"/>
    <x v="0"/>
  </r>
  <r>
    <s v="CABINET AND PANEL ARRANGMENT DRAWING"/>
    <n v="0"/>
    <d v="2024-04-09T00:00:00"/>
    <x v="10"/>
    <s v="ESTUDIO"/>
    <n v="3"/>
    <s v="ELECTRICO"/>
    <s v="Aclaraciones Restantes 08 Abril24/Entregables METSO"/>
    <x v="2"/>
    <x v="1"/>
  </r>
  <r>
    <s v="GENERAL ARRANGEMENT DRAWING HYDRAULIC POWER UNIT SIZE 2 HPU 5.5-37 KW TRUSS BRIDGE THICKENERS"/>
    <n v="5"/>
    <d v="2024-04-09T00:00:00"/>
    <x v="10"/>
    <s v="ESTUDIO"/>
    <n v="1"/>
    <s v="MECANICO"/>
    <s v="Aclaraciones Restantes 08 Abril24/Entregables METSO"/>
    <x v="2"/>
    <x v="1"/>
  </r>
  <r>
    <s v="EQUIPMENT GENERAL ARRANGEMENT ESPESADOR CONCENTRADO COLECTIVO HIGH RATE THICKENER 25M"/>
    <n v="0"/>
    <d v="2024-04-09T00:00:00"/>
    <x v="10"/>
    <s v="ESTUDIO"/>
    <n v="1"/>
    <s v="MECANICO"/>
    <s v="Aclaraciones Restantes 08 Abril24/Entregables METSO"/>
    <x v="2"/>
    <x v="1"/>
  </r>
  <r>
    <s v="ASSMEBLY DRAWING WELDED TANK ASSEMBLY 0030-TANKAGE COMPONENT WELDED TANK DESIGN THICKENERS (2 LAMINAS)"/>
    <n v="0"/>
    <d v="2024-04-09T00:00:00"/>
    <x v="10"/>
    <s v="ESTUDIO"/>
    <n v="2"/>
    <s v="MECANICO"/>
    <s v="Aclaraciones Restantes 08 Abril24/Entregables METSO"/>
    <x v="2"/>
    <x v="1"/>
  </r>
  <r>
    <s v="FOUNDATION AN LOAD PLAN ESPESADOR CONCENTRADO COLECTIVO FOUNDATION LOADS HIGH RATE THICKENER 25M (2 LAMINAS)"/>
    <s v="B"/>
    <d v="2024-04-09T00:00:00"/>
    <x v="10"/>
    <s v="OBSOLETO"/>
    <n v="2"/>
    <s v="MECANICO"/>
    <s v="Aclaraciones Restantes 08 Abril24/Entregables METSO"/>
    <x v="1"/>
    <x v="1"/>
  </r>
  <r>
    <s v="ASSEMBLY DRAWING BRIDGE ASSEMBLY 0050 - BRIDGE COMPONENTS BRIDGE DESIGNS THICKENERS (2 LAMINAS)"/>
    <n v="0"/>
    <d v="2024-04-09T00:00:00"/>
    <x v="10"/>
    <s v="ESTUDIO"/>
    <n v="2"/>
    <s v="MECANICO"/>
    <s v="Aclaraciones Restantes 08 Abril24/Entregables METSO"/>
    <x v="2"/>
    <x v="1"/>
  </r>
  <r>
    <s v="ASSEMBLY DRAWING DRIVE ASSEMBLY 0060 - RR20000 - 600 LIFT TOP PIN MEGA HYDRAULIC DRIVE  THICKENERS (2 LAMINAS)"/>
    <n v="0"/>
    <d v="2024-04-09T00:00:00"/>
    <x v="10"/>
    <s v="ESTUDIO"/>
    <n v="2"/>
    <s v="MECANICO"/>
    <s v="Aclaraciones Restantes 08 Abril24/Entregables METSO"/>
    <x v="2"/>
    <x v="1"/>
  </r>
  <r>
    <s v="HYDRAULIC DIAGRAM COPPER CONCENTRATE 25M HRT HYDRAULIC POWER UNIT SIZE 2 - 15HP HYDRAULIC CIRCUIT SPECIFICATION"/>
    <n v="1"/>
    <d v="2024-04-09T00:00:00"/>
    <x v="10"/>
    <s v="ESTUDIO"/>
    <n v="1"/>
    <s v="MECANICO"/>
    <s v="Aclaraciones Restantes 08 Abril24/Entregables METSO"/>
    <x v="2"/>
    <x v="1"/>
  </r>
  <r>
    <s v="PACKING LIST NV07619 (01-04-24)"/>
    <s v="-"/>
    <d v="2024-04-09T00:00:00"/>
    <x v="8"/>
    <s v="ESTUDIO"/>
    <s v="-"/>
    <s v="MECANICO"/>
    <s v="Aclaraciones Restantes 08 Abril24/Entregables METSO"/>
    <x v="2"/>
    <x v="1"/>
  </r>
  <r>
    <m/>
    <m/>
    <m/>
    <x v="0"/>
    <m/>
    <m/>
    <m/>
    <m/>
    <x v="0"/>
    <x v="0"/>
  </r>
  <r>
    <s v="CORREO RESPALDO - CONSOLIDADO DE RESPUESTAS 2DA RONDA 1ERA PARTE"/>
    <s v="-"/>
    <d v="2024-04-22T00:00:00"/>
    <x v="1"/>
    <s v="ESTUDIO"/>
    <s v="-"/>
    <s v="GENERAL"/>
    <m/>
    <x v="1"/>
    <x v="0"/>
  </r>
  <r>
    <s v="CORREO RESPALDO - RE_ CONSOLIDADO DE RESPUESTAS 2DA RONDA"/>
    <s v="-"/>
    <d v="2024-04-22T00:00:00"/>
    <x v="1"/>
    <s v="ESTUDIO"/>
    <s v="-"/>
    <s v="GENERAL"/>
    <m/>
    <x v="1"/>
    <x v="0"/>
  </r>
  <r>
    <s v="CORREO RESPALDO - RV CONSOLIDADO DE RESPUESTAS 2DA RONDA 1ERA PARTE  DOC1002164805  MONTAJE ESPESADOR DE CABEZA PMFC -DAND"/>
    <s v="-"/>
    <d v="2024-04-22T00:00:00"/>
    <x v="1"/>
    <s v="ESTUDIO"/>
    <s v="-"/>
    <s v="GENERAL"/>
    <m/>
    <x v="1"/>
    <x v="0"/>
  </r>
  <r>
    <s v="CORREO RESPALDO - RV CONSOLIDADO N1 DE RESPUESTAS  DOC1002164805  MONTAJE ESPESADOR DE CABEZA PMFC -DAND"/>
    <s v="-"/>
    <d v="2024-04-22T00:00:00"/>
    <x v="1"/>
    <s v="ESTUDIO"/>
    <s v="-"/>
    <s v="GENERAL"/>
    <m/>
    <x v="1"/>
    <x v="0"/>
  </r>
  <r>
    <s v="ESPECIFICACIÓN TÉCNICA DE ESTRUCTURAS DE ACERO"/>
    <n v="0"/>
    <d v="2024-04-22T00:00:00"/>
    <x v="11"/>
    <s v="ESTUDIO"/>
    <n v="229"/>
    <s v="ESTRUCTURA"/>
    <m/>
    <x v="2"/>
    <x v="231"/>
  </r>
  <r>
    <s v="ACTUALIZACIÓN ESPECIFICACIÓN TÉCNICA VÁLVULAS"/>
    <n v="1"/>
    <d v="2024-04-22T00:00:00"/>
    <x v="11"/>
    <s v="ESTUDIO"/>
    <n v="26"/>
    <s v="MECANICO"/>
    <m/>
    <x v="2"/>
    <x v="268"/>
  </r>
  <r>
    <s v="ACTUALIZACIÓN ESPECIFICACIÓN TÉCNICA MATERIALES DE CAÑERÍAS"/>
    <n v="1"/>
    <d v="2024-04-22T00:00:00"/>
    <x v="11"/>
    <s v="N. REVISION"/>
    <n v="47"/>
    <s v="MECANICO"/>
    <m/>
    <x v="2"/>
    <x v="269"/>
  </r>
  <r>
    <s v="ESPECIFICACIÓN TÉCNICA REVESTIMIENTO INTERIOR DE CAÑERÍAS Y ACCESORIOS"/>
    <n v="0"/>
    <d v="2024-04-22T00:00:00"/>
    <x v="11"/>
    <s v="ESTUDIO"/>
    <n v="26"/>
    <s v="MECANICO"/>
    <m/>
    <x v="2"/>
    <x v="270"/>
  </r>
  <r>
    <s v="ESPECIFICACIÓN TÉCNICA TECLES ELÉCTRICOS"/>
    <n v="0"/>
    <d v="2024-04-22T00:00:00"/>
    <x v="11"/>
    <s v="ESTUDIO"/>
    <n v="20"/>
    <s v="MECANICO"/>
    <m/>
    <x v="2"/>
    <x v="271"/>
  </r>
  <r>
    <s v="HOJA DE DATOS INSTRUMENTOS DE NIVEL"/>
    <n v="1"/>
    <d v="2024-04-22T00:00:00"/>
    <x v="14"/>
    <s v="ESTUDIO"/>
    <n v="13"/>
    <s v="AUTOMATIZACION"/>
    <m/>
    <x v="2"/>
    <x v="48"/>
  </r>
  <r>
    <s v="HOJA DE DATOS SISTEMA DE CONTROL"/>
    <n v="1"/>
    <d v="2024-04-22T00:00:00"/>
    <x v="14"/>
    <s v="ESTUDIO"/>
    <n v="10"/>
    <s v="AUTOMATIZACION"/>
    <m/>
    <x v="2"/>
    <x v="49"/>
  </r>
  <r>
    <s v="HOJA DE DATOS INSTRUMENTOS DE PRESIÓN"/>
    <n v="1"/>
    <d v="2024-04-22T00:00:00"/>
    <x v="14"/>
    <s v="ESTUDIO"/>
    <n v="10"/>
    <s v="AUTOMATIZACION"/>
    <m/>
    <x v="2"/>
    <x v="50"/>
  </r>
  <r>
    <s v="HOJA DE DATOS INSTRUMENTOS DE PRESIÓN"/>
    <n v="1"/>
    <d v="2024-04-22T00:00:00"/>
    <x v="14"/>
    <s v="ESTUDIO"/>
    <n v="10"/>
    <s v="AUTOMATIZACION"/>
    <m/>
    <x v="2"/>
    <x v="50"/>
  </r>
  <r>
    <s v="HOJA DE DATOS INSTRUMENTOS DE FLUJO"/>
    <n v="1"/>
    <d v="2024-04-22T00:00:00"/>
    <x v="14"/>
    <s v="ESTUDIO"/>
    <n v="9"/>
    <s v="AUTOMATIZACION"/>
    <m/>
    <x v="2"/>
    <x v="51"/>
  </r>
  <r>
    <s v="HOJA DE DATOS EQUIPOS DE CCTV"/>
    <n v="1"/>
    <d v="2024-04-22T00:00:00"/>
    <x v="14"/>
    <s v="ESTUDIO"/>
    <n v="17"/>
    <s v="AUTOMATIZACION"/>
    <m/>
    <x v="2"/>
    <x v="52"/>
  </r>
  <r>
    <s v="HOJA DE DATOS ISNTRUMENTOS DE DENSIDAD"/>
    <n v="0"/>
    <d v="2024-04-22T00:00:00"/>
    <x v="14"/>
    <s v="ESTUDIO"/>
    <n v="8"/>
    <s v="AUTOMATIZACION"/>
    <m/>
    <x v="2"/>
    <x v="292"/>
  </r>
  <r>
    <s v="HOJA DE DATOS EQUIPOS DE COMUNICACIÓN"/>
    <n v="1"/>
    <d v="2024-04-22T00:00:00"/>
    <x v="14"/>
    <s v="ESTUDIO"/>
    <n v="8"/>
    <s v="AUTOMATIZACION"/>
    <m/>
    <x v="2"/>
    <x v="53"/>
  </r>
  <r>
    <s v="HOJA DE DATOS TABLEROS DE CONTROL NEUMÁTICO"/>
    <n v="0"/>
    <d v="2024-04-22T00:00:00"/>
    <x v="14"/>
    <s v="ESTUDIO"/>
    <n v="15"/>
    <s v="AUTOMATIZACION"/>
    <m/>
    <x v="2"/>
    <x v="54"/>
  </r>
  <r>
    <s v="ACTUALIZACIÓN HOJA DE DATOS VÁLVULAS DE AGUA"/>
    <n v="1"/>
    <d v="2024-04-22T00:00:00"/>
    <x v="14"/>
    <s v="ESTUDIO"/>
    <n v="15"/>
    <s v="MECANICO"/>
    <m/>
    <x v="2"/>
    <x v="277"/>
  </r>
  <r>
    <s v="HOJA DE DATOS VÁLVULAS DE CUCHILLO"/>
    <n v="0"/>
    <d v="2024-04-22T00:00:00"/>
    <x v="14"/>
    <s v="ESTUDIO"/>
    <n v="38"/>
    <s v="MECANICO"/>
    <m/>
    <x v="2"/>
    <x v="278"/>
  </r>
  <r>
    <s v="HOJA DE DATOS VÁLVULAS PINCH Y CONO"/>
    <n v="0"/>
    <d v="2024-04-22T00:00:00"/>
    <x v="14"/>
    <s v="ESTUDIO"/>
    <n v="17"/>
    <s v="MECANICO"/>
    <m/>
    <x v="2"/>
    <x v="279"/>
  </r>
  <r>
    <s v="HOJA DE DATOS CORTADOR DE MUESTRA"/>
    <n v="0"/>
    <d v="2024-04-22T00:00:00"/>
    <x v="14"/>
    <s v="ESTUDIO"/>
    <n v="13"/>
    <s v="MECANICO"/>
    <m/>
    <x v="2"/>
    <x v="280"/>
  </r>
  <r>
    <s v="LISTADO TIE INS"/>
    <n v="0"/>
    <d v="2024-04-22T00:00:00"/>
    <x v="8"/>
    <s v="N. REVISION"/>
    <n v="8"/>
    <s v="MECANICO"/>
    <m/>
    <x v="2"/>
    <x v="281"/>
  </r>
  <r>
    <s v="LISTADO DE VÁLVULAS TODOS LOS SERVICIOS"/>
    <n v="0"/>
    <d v="2024-04-22T00:00:00"/>
    <x v="8"/>
    <s v="N. REVISION"/>
    <n v="15"/>
    <s v="MECANICO"/>
    <m/>
    <x v="2"/>
    <x v="283"/>
  </r>
  <r>
    <s v="RESPUESTA LICITACION MONTAJES ESPESADOR CABEZA (PARTE 1) 22-04-24 - 2NDA RONDA"/>
    <s v="-"/>
    <d v="2024-04-22T00:00:00"/>
    <x v="8"/>
    <s v="ESTUDIO"/>
    <s v="-"/>
    <s v="CONSULTAS"/>
    <m/>
    <x v="1"/>
    <x v="0"/>
  </r>
  <r>
    <s v="FORMULARIO ECONOMICO - ECO-01 - ITEMIZADO DE PRESUPUESTO"/>
    <n v="2"/>
    <d v="2024-04-22T00:00:00"/>
    <x v="2"/>
    <s v="N. REVISION"/>
    <s v="-"/>
    <s v="ECONOMICO"/>
    <m/>
    <x v="1"/>
    <x v="0"/>
  </r>
  <r>
    <s v="FORMULARIO ECONOMICO - ECO-01A - ITEMIZADO DE PRESUPUESTO DESGOLSADO"/>
    <n v="2"/>
    <d v="2024-04-22T00:00:00"/>
    <x v="2"/>
    <s v="N. REVISION"/>
    <s v="-"/>
    <s v="ECONOMICO"/>
    <m/>
    <x v="1"/>
    <x v="0"/>
  </r>
  <r>
    <s v="4600022667-001-03350-ESPCA-00001 - ESPECIFICACIÓN TÉCNICA SOLDADURA CAÑERÍAS ACERO Y ENSAYOS NO DESTRUCTIVOS"/>
    <s v="B"/>
    <d v="2024-04-22T00:00:00"/>
    <x v="11"/>
    <s v="ESTUDIO"/>
    <n v="43"/>
    <s v="CAÑERIAS"/>
    <m/>
    <x v="2"/>
    <x v="293"/>
  </r>
  <r>
    <s v="4600022667-001-03350-ESPCA-00002 - ESPECIFICACIÓN TÉCNICA SOLDADURA CAÑERÍAS DE HDPE Y ENSAYOS NO DESTRUCTIVOS"/>
    <s v="B"/>
    <d v="2024-04-22T00:00:00"/>
    <x v="11"/>
    <s v="ESTUDIO"/>
    <n v="23"/>
    <s v="CAÑERIAS"/>
    <m/>
    <x v="2"/>
    <x v="293"/>
  </r>
  <r>
    <s v="ESPECIFICACION TECNICA MOVIMIENTOS DE TIERRAS, TOPGRAFIA, CAMINOS Y OOCC"/>
    <n v="1"/>
    <d v="2024-04-22T00:00:00"/>
    <x v="11"/>
    <s v="ESTUDIO"/>
    <n v="149"/>
    <s v="CIVIL"/>
    <m/>
    <x v="2"/>
    <x v="1"/>
  </r>
  <r>
    <s v="DESPIECE EST-MF-1"/>
    <n v="5"/>
    <d v="2024-04-22T00:00:00"/>
    <x v="10"/>
    <s v="ESTUDIO"/>
    <n v="1"/>
    <s v="MECANICO"/>
    <m/>
    <x v="2"/>
    <x v="1"/>
  </r>
  <r>
    <s v="DESPIECE EST-MF-2"/>
    <n v="3"/>
    <d v="2024-04-22T00:00:00"/>
    <x v="10"/>
    <s v="ESTUDIO"/>
    <n v="1"/>
    <s v="MECANICO"/>
    <m/>
    <x v="2"/>
    <x v="1"/>
  </r>
  <r>
    <s v="DESPIECE EST-MF-3"/>
    <n v="2"/>
    <d v="2024-04-22T00:00:00"/>
    <x v="10"/>
    <s v="ESTUDIO"/>
    <n v="1"/>
    <s v="MECANICO"/>
    <m/>
    <x v="2"/>
    <x v="1"/>
  </r>
  <r>
    <s v="PLANO MONTAJE GENERAL - GENERAL - NV07614-0245-MON-07"/>
    <n v="0"/>
    <d v="2024-04-22T00:00:00"/>
    <x v="10"/>
    <s v="ESTUDIO"/>
    <n v="1"/>
    <s v="MECANICO"/>
    <m/>
    <x v="2"/>
    <x v="1"/>
  </r>
  <r>
    <s v="PLANO MONTAJE GENERAL - ESTANQUE - NV07619-0245-MON-05"/>
    <n v="0"/>
    <d v="2024-04-22T00:00:00"/>
    <x v="10"/>
    <s v="ESTUDIO"/>
    <n v="1"/>
    <s v="MECANICO"/>
    <m/>
    <x v="2"/>
    <x v="1"/>
  </r>
  <r>
    <s v="PLANO MONTAJE GENERAL - PUENTE - NV07619-0245-MON-06"/>
    <n v="4"/>
    <d v="2024-04-22T00:00:00"/>
    <x v="10"/>
    <s v="ESTUDIO"/>
    <n v="1"/>
    <s v="MECANICO"/>
    <m/>
    <x v="2"/>
    <x v="1"/>
  </r>
  <r>
    <s v="INSTALLATION - INSPECTION DATA SHEET - WELDED TANK THICKENER/CLARIFIER"/>
    <s v="-"/>
    <d v="2024-04-22T00:00:00"/>
    <x v="14"/>
    <s v="ESTUDIO"/>
    <s v="-"/>
    <s v="MECANICO"/>
    <m/>
    <x v="2"/>
    <x v="1"/>
  </r>
  <r>
    <m/>
    <m/>
    <m/>
    <x v="0"/>
    <m/>
    <m/>
    <m/>
    <m/>
    <x v="0"/>
    <x v="0"/>
  </r>
  <r>
    <s v="CORREO RESPALDO - RV CONSOLIDADO DE RESPUESTAS 2DA RONDA 2DA PARTE DOC1002164805  MONTAJE ESPESADOR DE CABEZA PMFC -DAND"/>
    <s v="-"/>
    <d v="2024-04-24T00:00:00"/>
    <x v="1"/>
    <s v="ESTUDIO"/>
    <s v="-"/>
    <s v="GENERAL"/>
    <m/>
    <x v="1"/>
    <x v="0"/>
  </r>
  <r>
    <s v="RESPUESTA LICITACION MONTAJES ESPESADOR CABEZA (PARTE 2) 24-04-24 - 2NDA RONDA"/>
    <s v="-"/>
    <d v="2024-04-24T00:00:00"/>
    <x v="8"/>
    <s v="ESTUDIO"/>
    <s v="-"/>
    <s v="CONSULTAS"/>
    <m/>
    <x v="1"/>
    <x v="0"/>
  </r>
  <r>
    <s v="ESTÁNDAR CONTROL DE FATALIDADES ECF 7 - IZAJE MECÁNICO DE CARGAS"/>
    <n v="1"/>
    <d v="2024-04-24T00:00:00"/>
    <x v="22"/>
    <s v="ESTUDIO"/>
    <n v="13"/>
    <s v="SSO"/>
    <m/>
    <x v="1"/>
    <x v="0"/>
  </r>
  <r>
    <s v="MODELO 3D - F039SS01  24-04-24"/>
    <s v="-"/>
    <d v="2024-04-24T00:00:00"/>
    <x v="9"/>
    <s v="ESTUDIO"/>
    <s v="-"/>
    <s v="GENERAL"/>
    <m/>
    <x v="2"/>
    <x v="1"/>
  </r>
  <r>
    <s v="GESTION DE CONTROLES CRITICOS - PÉRDIDA DE CONTROL MANIOBRAS DE IZAJE"/>
    <n v="1"/>
    <d v="2024-04-24T00:00:00"/>
    <x v="18"/>
    <s v="N. REVISION"/>
    <n v="41"/>
    <s v="SSO"/>
    <m/>
    <x v="1"/>
    <x v="0"/>
  </r>
  <r>
    <s v="INSTRUCTIVO REGULACION DEL USO DE LA LICENCIA ELECTRICA (LE) PARA INTERVENIR Y REALIZAR MANIOBRAS EN EQUIPOS Y SISTEMAS ELECTRICOS"/>
    <n v="4"/>
    <d v="2024-04-24T00:00:00"/>
    <x v="4"/>
    <s v="N. REVISION"/>
    <n v="13"/>
    <s v="SSO"/>
    <m/>
    <x v="1"/>
    <x v="0"/>
  </r>
  <r>
    <s v="REGLAMENTO INTERNO DE SEGURIDAD ELÉCTRICA 2022"/>
    <n v="7"/>
    <d v="2024-04-24T00:00:00"/>
    <x v="19"/>
    <s v="ESTUDIO"/>
    <n v="49"/>
    <s v="SSO"/>
    <m/>
    <x v="1"/>
    <x v="0"/>
  </r>
  <r>
    <m/>
    <m/>
    <m/>
    <x v="0"/>
    <m/>
    <m/>
    <m/>
    <m/>
    <x v="0"/>
    <x v="0"/>
  </r>
  <r>
    <s v="CORREO RESPALDO - PLANOS MECANICOS PENDIENTES _ DOC1002164805 _ MONTAJE ESPESADOR DE CABEZA PMFC -DAND"/>
    <s v="-"/>
    <d v="2024-04-26T00:00:00"/>
    <x v="1"/>
    <s v="ESTUDIO"/>
    <s v="-"/>
    <s v="GENERAL"/>
    <m/>
    <x v="1"/>
    <x v="0"/>
  </r>
  <r>
    <s v="CAJÓN DE PRECARGA - 03551-CAJ-001 DISEÑO"/>
    <n v="2"/>
    <d v="2024-04-26T00:00:00"/>
    <x v="10"/>
    <s v="N. REVISION"/>
    <n v="1"/>
    <s v="MECANICO"/>
    <m/>
    <x v="2"/>
    <x v="262"/>
  </r>
  <r>
    <s v="CANALETA - 03351-CAN-001 DISEÑO"/>
    <n v="1"/>
    <d v="2024-04-26T00:00:00"/>
    <x v="10"/>
    <s v="ESTUDIO"/>
    <n v="1"/>
    <s v="MECANICO"/>
    <m/>
    <x v="2"/>
    <x v="263"/>
  </r>
  <r>
    <s v="CAJÓN DE TRASPASO 03351-CAJ-002 DISEÑO"/>
    <n v="1"/>
    <d v="2024-04-26T00:00:00"/>
    <x v="10"/>
    <s v="ESTUDIO"/>
    <n v="1"/>
    <s v="MECANICO"/>
    <m/>
    <x v="2"/>
    <x v="264"/>
  </r>
  <r>
    <s v="PIEZA ESPECIAL 03351-ZZM-001 DISEÑO"/>
    <n v="0"/>
    <d v="2024-04-26T00:00:00"/>
    <x v="10"/>
    <s v="ESTUDIO"/>
    <n v="1"/>
    <s v="MECANICO"/>
    <m/>
    <x v="2"/>
    <x v="265"/>
  </r>
  <r>
    <m/>
    <m/>
    <m/>
    <x v="0"/>
    <m/>
    <m/>
    <m/>
    <m/>
    <x v="0"/>
    <x v="0"/>
  </r>
  <r>
    <s v="CORREO RESPALDO - RV_ APLAZAMIENTO FECHA DE RECEPCION DE OFERTA _ DOC1002164805 _ MONTAJE ESPESADOR DE CABEZA PMFC -DAND"/>
    <s v="-"/>
    <d v="2024-05-06T00:00:00"/>
    <x v="1"/>
    <s v="ESTUDIO"/>
    <s v="-"/>
    <s v="GENERAL"/>
    <m/>
    <x v="1"/>
    <x v="0"/>
  </r>
  <r>
    <m/>
    <m/>
    <m/>
    <x v="0"/>
    <m/>
    <m/>
    <m/>
    <m/>
    <x v="0"/>
    <x v="0"/>
  </r>
  <r>
    <s v="CORREO RESPALDO - FWD EL EVENTO RFP MONTAJE ESPESADOR DE CABEZA PMFC -DAND HA SIDO AMPLIADO EN 7 DIAS"/>
    <s v="-"/>
    <d v="2024-05-17T00:00:00"/>
    <x v="1"/>
    <s v="ESTUDIO"/>
    <s v="-"/>
    <s v="GENERAL"/>
    <m/>
    <x v="1"/>
    <x v="0"/>
  </r>
  <r>
    <m/>
    <m/>
    <m/>
    <x v="0"/>
    <m/>
    <m/>
    <m/>
    <m/>
    <x v="0"/>
    <x v="0"/>
  </r>
  <r>
    <s v="CORREO RESPALDO - RV CONFIRMACIÓN FORMULARIO ECONÓMICO  DOC1002164805  MONTAJE ESPESADOR DE CABEZA PMFC -DAND"/>
    <s v="-"/>
    <d v="2024-05-23T00:00:00"/>
    <x v="1"/>
    <s v="ESTUDIO"/>
    <s v="-"/>
    <s v="GENERAL"/>
    <m/>
    <x v="1"/>
    <x v="0"/>
  </r>
  <r>
    <m/>
    <m/>
    <m/>
    <x v="0"/>
    <m/>
    <m/>
    <m/>
    <m/>
    <x v="0"/>
    <x v="0"/>
  </r>
  <r>
    <s v="CORREO RESPALDO - RV EL EVENTO RFP MONTAJE ESPESADOR DE CABEZA PMFC -DAND HA SIDO AMPLIADO EN 5 DIAS"/>
    <s v="-"/>
    <d v="2024-05-28T00:00:00"/>
    <x v="1"/>
    <s v="ESTUDIO"/>
    <s v="-"/>
    <s v="GENERAL"/>
    <m/>
    <x v="1"/>
    <x v="0"/>
  </r>
  <r>
    <m/>
    <m/>
    <m/>
    <x v="0"/>
    <m/>
    <m/>
    <m/>
    <m/>
    <x v="0"/>
    <x v="0"/>
  </r>
  <r>
    <s v="CORREO RESPALDO - RV ACLARACIÓN FORMULARIO ANT-01 REV.1   MONTAJE ESPESADOR DE CABEZA PMFC -DAND."/>
    <s v="-"/>
    <d v="2024-06-11T00:00:00"/>
    <x v="1"/>
    <s v="ESTUDIO"/>
    <s v="-"/>
    <s v="GENERAL"/>
    <m/>
    <x v="1"/>
    <x v="0"/>
  </r>
  <r>
    <s v="CORREO RESPALDO - RV COMENTARIO INTRODUCIDO EN EL EVENTO RFP MONTAJE ESPESADOR DE CABEZA PMFC -DAND."/>
    <s v="-"/>
    <d v="2024-06-11T00:00:00"/>
    <x v="1"/>
    <s v="ESTUDIO"/>
    <s v="-"/>
    <s v="GENERAL"/>
    <m/>
    <x v="1"/>
    <x v="0"/>
  </r>
  <r>
    <s v="FORMULARIO DE ANTECEDENTES - ANT-04 - ANTECEDENTES TECNICOS Y EXPERIENCIA"/>
    <n v="1"/>
    <d v="2024-06-11T00:00:00"/>
    <x v="2"/>
    <s v="N. REVISION"/>
    <s v="-"/>
    <s v="ANTECEDENTES"/>
    <m/>
    <x v="1"/>
    <x v="0"/>
  </r>
  <r>
    <m/>
    <m/>
    <m/>
    <x v="0"/>
    <m/>
    <m/>
    <m/>
    <m/>
    <x v="0"/>
    <x v="0"/>
  </r>
  <r>
    <s v="CORREO RESPALDO - RV_ NUEVA ACLARACIÓN DE OFERTAS _  MONTAJE ESPESADOR DE CABEZA PMFC -DAND."/>
    <s v="-"/>
    <d v="2024-06-11T00:00:00"/>
    <x v="1"/>
    <s v="ESTUDIO"/>
    <s v="-"/>
    <s v="GENERAL"/>
    <m/>
    <x v="1"/>
    <x v="0"/>
  </r>
  <r>
    <s v="ACLARACIÓN DE OFERTA PROCESO DE LICITACIÓN MONTAJE ESPESADOR DE CABEZA PMFC -DAND"/>
    <s v="-"/>
    <d v="2024-06-11T00:00:00"/>
    <x v="26"/>
    <s v="ESTUDIO"/>
    <n v="2"/>
    <s v="GENERAL"/>
    <m/>
    <x v="1"/>
    <x v="0"/>
  </r>
  <r>
    <m/>
    <m/>
    <m/>
    <x v="0"/>
    <m/>
    <m/>
    <m/>
    <m/>
    <x v="0"/>
    <x v="0"/>
  </r>
  <r>
    <s v="CORREO RESPALDO - RV_ COMENTARIO INTRODUCIDO EN EL EVENTO"/>
    <s v="-"/>
    <d v="2024-08-08T00:00:00"/>
    <x v="1"/>
    <s v="ESTUDIO"/>
    <s v="-"/>
    <s v="GENERAL"/>
    <m/>
    <x v="1"/>
    <x v="0"/>
  </r>
  <r>
    <m/>
    <m/>
    <m/>
    <x v="0"/>
    <m/>
    <m/>
    <m/>
    <m/>
    <x v="0"/>
    <x v="0"/>
  </r>
  <r>
    <s v="CARTA COTIZACION COTIZACION FESTO 4928065097"/>
    <s v="-"/>
    <d v="2025-08-20T00:00:00"/>
    <x v="32"/>
    <s v="ESTUDIO"/>
    <n v="6"/>
    <s v="GENERAL"/>
    <s v="TCN"/>
    <x v="1"/>
    <x v="0"/>
  </r>
  <r>
    <s v="COTIZACION TECNICA / COEMRCIAL - FESTO CL_CS.2214612 / 4928065097 - GABIENTE DE CONTROL ESPESADOR DE CABEZA TCN-1"/>
    <s v="-"/>
    <d v="2025-08-20T00:00:00"/>
    <x v="32"/>
    <s v="ESTUDIO"/>
    <n v="6"/>
    <s v="GENERAL"/>
    <s v="TCN"/>
    <x v="1"/>
    <x v="0"/>
  </r>
  <r>
    <s v="COTIZACION TECNICA / COEMRCIAL - FESTO CL_CS.2214865 / 4928065097 - GABIENTE DE CONTROL ESPESADOR DE CABEZA TCN-2"/>
    <s v="-"/>
    <d v="2025-08-20T00:00:00"/>
    <x v="32"/>
    <s v="ESTUDIO"/>
    <n v="6"/>
    <s v="GENERAL"/>
    <s v="TCN"/>
    <x v="1"/>
    <x v="0"/>
  </r>
  <r>
    <s v="COTIZACION TECNICA / COEMRCIAL - FESTO CL_CS.2214876 / 4928065097 - GABIENTE DE CONTROL ESPESADOR DE CABEZA TCN-3"/>
    <s v="-"/>
    <d v="2025-08-20T00:00:00"/>
    <x v="32"/>
    <s v="ESTUDIO"/>
    <n v="6"/>
    <s v="GENERAL"/>
    <s v="TCN"/>
    <x v="1"/>
    <x v="0"/>
  </r>
  <r>
    <s v="COTIZACION TECNICA / COEMRCIAL - FESTO CL_CS.2214882 / 4928065097 - GABIENTE DE CONTROL ESPESADOR DE CABEZA TCN-4"/>
    <s v="-"/>
    <d v="2025-08-20T00:00:00"/>
    <x v="32"/>
    <s v="ESTUDIO"/>
    <n v="6"/>
    <s v="GENERAL"/>
    <s v="TCN"/>
    <x v="1"/>
    <x v="0"/>
  </r>
  <r>
    <s v="COTIZACION TECNICA / COEMRCIAL - FESTO CL_CS.2214885 / 4928065097 - GABIENTE DE CONTROL ESPESADOR DE CABEZA TCN-5"/>
    <s v="-"/>
    <d v="2025-08-20T00:00:00"/>
    <x v="32"/>
    <s v="ESTUDIO"/>
    <n v="6"/>
    <s v="GENERAL"/>
    <s v="TCN"/>
    <x v="1"/>
    <x v="0"/>
  </r>
  <r>
    <s v="COTIZACION TECNICA / COEMRCIAL - FESTO CL_CS.2214898 / 4928065097 - GABIENTE DE CONTROL ESPESADOR DE CABEZA TCN-6"/>
    <s v="-"/>
    <d v="2025-08-20T00:00:00"/>
    <x v="32"/>
    <s v="ESTUDIO"/>
    <n v="6"/>
    <s v="GENERAL"/>
    <s v="TCN"/>
    <x v="1"/>
    <x v="0"/>
  </r>
  <r>
    <s v="COTIZACION TECNICA / COEMRCIAL - FESTO CL_CS.2214900 / 4928065097 - GABIENTE DE CONTROL ESPESADOR DE CABEZA TCN-7"/>
    <s v="-"/>
    <d v="2025-08-20T00:00:00"/>
    <x v="32"/>
    <s v="ESTUDIO"/>
    <n v="6"/>
    <s v="GENERAL"/>
    <s v="TCN"/>
    <x v="1"/>
    <x v="0"/>
  </r>
  <r>
    <s v="COTIZACION TECNICA / COEMRCIAL - FESTO CL_CS.2214901 / 4928065097 - GABIENTE DE CONTROL ESPESADOR DE CABEZA TCN-8"/>
    <s v="-"/>
    <d v="2025-08-20T00:00:00"/>
    <x v="32"/>
    <s v="ESTUDIO"/>
    <n v="6"/>
    <s v="GENERAL"/>
    <s v="TCN"/>
    <x v="1"/>
    <x v="0"/>
  </r>
  <r>
    <s v="TERMINOS Y CONDICIONES DE VENTA"/>
    <s v="-"/>
    <d v="2025-08-20T00:00:00"/>
    <x v="5"/>
    <s v="ESTUDIO"/>
    <n v="8"/>
    <s v="GENERAL"/>
    <s v="TCN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FB644-533B-4A4E-9309-730C5F9D40D7}" name="TablaDinámica1" cacheId="73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14" firstHeaderRow="1" firstDataRow="1" firstDataCol="1" rowPageCount="2" colPageCount="1"/>
  <pivotFields count="10">
    <pivotField showAll="0"/>
    <pivotField showAll="0"/>
    <pivotField showAll="0"/>
    <pivotField axis="axisRow" dataField="1" showAll="0">
      <items count="34">
        <item x="20"/>
        <item x="3"/>
        <item x="26"/>
        <item x="1"/>
        <item x="32"/>
        <item x="12"/>
        <item x="13"/>
        <item x="11"/>
        <item x="22"/>
        <item x="23"/>
        <item x="2"/>
        <item x="21"/>
        <item x="14"/>
        <item x="31"/>
        <item x="5"/>
        <item x="4"/>
        <item x="16"/>
        <item x="30"/>
        <item x="8"/>
        <item x="24"/>
        <item x="28"/>
        <item x="9"/>
        <item x="25"/>
        <item x="17"/>
        <item x="6"/>
        <item x="15"/>
        <item x="10"/>
        <item x="18"/>
        <item x="7"/>
        <item x="19"/>
        <item x="27"/>
        <item x="29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5">
        <item h="1" x="1"/>
        <item x="2"/>
        <item x="3"/>
        <item h="1" x="0"/>
        <item t="default"/>
      </items>
    </pivotField>
    <pivotField axis="axisPage" multipleItemSelectionAllowed="1" showAll="0">
      <items count="295">
        <item h="1" x="97"/>
        <item h="1" x="98"/>
        <item h="1" x="99"/>
        <item h="1" x="13"/>
        <item h="1" x="14"/>
        <item h="1" x="15"/>
        <item h="1" x="126"/>
        <item h="1" x="127"/>
        <item h="1" x="128"/>
        <item h="1" x="2"/>
        <item h="1" x="3"/>
        <item h="1" x="4"/>
        <item h="1" x="100"/>
        <item h="1" x="101"/>
        <item h="1" x="102"/>
        <item h="1" x="111"/>
        <item h="1" x="112"/>
        <item h="1" x="129"/>
        <item h="1" x="130"/>
        <item h="1" x="131"/>
        <item h="1" x="257"/>
        <item h="1" x="258"/>
        <item h="1" x="259"/>
        <item h="1" x="260"/>
        <item h="1" x="261"/>
        <item h="1" x="103"/>
        <item h="1" x="104"/>
        <item h="1" x="105"/>
        <item h="1" x="106"/>
        <item h="1" x="107"/>
        <item h="1" x="60"/>
        <item h="1" x="108"/>
        <item h="1" x="61"/>
        <item h="1" x="62"/>
        <item h="1" x="109"/>
        <item h="1" x="63"/>
        <item h="1" x="64"/>
        <item h="1" x="65"/>
        <item h="1" x="66"/>
        <item h="1" x="67"/>
        <item h="1" x="262"/>
        <item h="1" x="263"/>
        <item h="1" x="264"/>
        <item h="1" x="265"/>
        <item h="1" x="16"/>
        <item h="1" x="17"/>
        <item h="1" x="18"/>
        <item h="1" x="132"/>
        <item h="1" x="68"/>
        <item h="1" x="69"/>
        <item h="1" x="70"/>
        <item h="1" x="71"/>
        <item h="1" x="72"/>
        <item h="1" x="73"/>
        <item h="1" x="19"/>
        <item h="1" x="20"/>
        <item h="1" x="113"/>
        <item h="1" x="114"/>
        <item h="1" x="115"/>
        <item h="1" x="116"/>
        <item h="1" x="117"/>
        <item h="1" x="118"/>
        <item h="1" x="119"/>
        <item h="1" x="120"/>
        <item h="1" x="133"/>
        <item h="1" x="134"/>
        <item h="1" x="135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287"/>
        <item h="1" x="74"/>
        <item h="1" x="75"/>
        <item h="1" x="76"/>
        <item h="1" x="77"/>
        <item h="1" x="78"/>
        <item h="1" x="79"/>
        <item h="1" x="80"/>
        <item h="1" x="81"/>
        <item h="1" x="136"/>
        <item h="1" x="137"/>
        <item h="1" x="138"/>
        <item h="1" x="139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5"/>
        <item h="1" x="6"/>
        <item h="1" x="7"/>
        <item h="1" x="8"/>
        <item h="1" x="9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88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121"/>
        <item h="1" x="122"/>
        <item h="1" x="242"/>
        <item h="1" x="243"/>
        <item h="1" x="244"/>
        <item h="1" x="245"/>
        <item h="1" x="44"/>
        <item h="1" x="93"/>
        <item h="1" x="158"/>
        <item h="1" x="266"/>
        <item h="1" x="289"/>
        <item h="1" x="45"/>
        <item h="1" x="94"/>
        <item h="1" x="159"/>
        <item h="1" x="10"/>
        <item h="1" x="11"/>
        <item h="1" x="12"/>
        <item h="1" x="46"/>
        <item h="1" x="47"/>
        <item h="1" x="160"/>
        <item h="1" x="161"/>
        <item h="1" x="162"/>
        <item h="1" x="163"/>
        <item h="1" x="164"/>
        <item h="1" x="165"/>
        <item h="1" x="230"/>
        <item h="1" x="231"/>
        <item h="1" x="267"/>
        <item h="1" x="268"/>
        <item h="1" x="269"/>
        <item h="1" x="270"/>
        <item h="1" x="271"/>
        <item h="1" x="272"/>
        <item h="1" x="273"/>
        <item h="1" x="48"/>
        <item h="1" x="49"/>
        <item h="1" x="50"/>
        <item h="1" x="51"/>
        <item h="1" x="52"/>
        <item h="1" x="292"/>
        <item h="1" x="53"/>
        <item h="1" x="54"/>
        <item h="1" x="166"/>
        <item h="1" x="167"/>
        <item h="1" x="168"/>
        <item h="1" x="169"/>
        <item h="1" x="170"/>
        <item h="1" x="274"/>
        <item h="1" x="275"/>
        <item h="1" x="276"/>
        <item h="1" x="277"/>
        <item h="1" x="278"/>
        <item h="1" x="279"/>
        <item h="1" x="280"/>
        <item h="1" x="55"/>
        <item h="1" x="110"/>
        <item h="1" x="123"/>
        <item h="1" x="171"/>
        <item h="1" x="241"/>
        <item h="1" x="246"/>
        <item h="1" x="247"/>
        <item h="1" x="248"/>
        <item h="1" x="290"/>
        <item h="1" x="56"/>
        <item h="1" x="57"/>
        <item h="1" x="58"/>
        <item h="1" x="59"/>
        <item h="1" x="172"/>
        <item h="1" x="173"/>
        <item h="1" x="281"/>
        <item h="1" x="282"/>
        <item h="1" x="283"/>
        <item h="1" x="95"/>
        <item h="1" x="96"/>
        <item h="1" x="124"/>
        <item h="1" x="125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84"/>
        <item h="1" x="285"/>
        <item h="1" x="286"/>
        <item h="1" x="291"/>
        <item h="1" x="249"/>
        <item h="1" x="250"/>
        <item h="1" x="251"/>
        <item h="1" x="252"/>
        <item h="1" x="253"/>
        <item h="1" x="254"/>
        <item h="1" x="255"/>
        <item h="1" x="256"/>
        <item h="1" x="293"/>
        <item x="1"/>
        <item h="1" x="0"/>
        <item t="default"/>
      </items>
    </pivotField>
  </pivotFields>
  <rowFields count="1">
    <field x="3"/>
  </rowFields>
  <rowItems count="10">
    <i>
      <x v="5"/>
    </i>
    <i>
      <x v="6"/>
    </i>
    <i>
      <x v="7"/>
    </i>
    <i>
      <x v="12"/>
    </i>
    <i>
      <x v="14"/>
    </i>
    <i>
      <x v="18"/>
    </i>
    <i>
      <x v="21"/>
    </i>
    <i>
      <x v="25"/>
    </i>
    <i>
      <x v="26"/>
    </i>
    <i t="grand">
      <x/>
    </i>
  </rowItems>
  <colItems count="1">
    <i/>
  </colItems>
  <pageFields count="2">
    <pageField fld="9" hier="-1"/>
    <pageField fld="8" hier="-1"/>
  </pageFields>
  <dataFields count="1">
    <dataField name="Cuenta de TIP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gdoc.codelco.cl/sgdoc-mobile/stream?id=09024abd93cc7412&amp;inline=true" TargetMode="External"/><Relationship Id="rId299" Type="http://schemas.openxmlformats.org/officeDocument/2006/relationships/hyperlink" Target="https://sgdoc.codelco.cl/sgdoc-mobile/stream?id=09024abd920c5806&amp;inline=true" TargetMode="External"/><Relationship Id="rId21" Type="http://schemas.openxmlformats.org/officeDocument/2006/relationships/hyperlink" Target="https://sgdoc.codelco.cl/sgdoc-mobile/stream?id=09024abd94b1a5d5&amp;inline=true" TargetMode="External"/><Relationship Id="rId63" Type="http://schemas.openxmlformats.org/officeDocument/2006/relationships/hyperlink" Target="https://sgdoc.codelco.cl/sgdoc-mobile/stream?id=09024abd9390e255&amp;inline=true" TargetMode="External"/><Relationship Id="rId159" Type="http://schemas.openxmlformats.org/officeDocument/2006/relationships/hyperlink" Target="https://sgdoc.codelco.cl/sgdoc-mobile/stream?id=09024abd93299f4d&amp;inline=true" TargetMode="External"/><Relationship Id="rId324" Type="http://schemas.openxmlformats.org/officeDocument/2006/relationships/hyperlink" Target="https://sgdoc.codelco.cl/sgdoc-mobile/stream?id=09024abd9a6cf75f&amp;inline=true" TargetMode="External"/><Relationship Id="rId170" Type="http://schemas.openxmlformats.org/officeDocument/2006/relationships/hyperlink" Target="https://sgdoc.codelco.cl/sgdoc-mobile/stream?id=09024abd93447abd&amp;inline=true" TargetMode="External"/><Relationship Id="rId226" Type="http://schemas.openxmlformats.org/officeDocument/2006/relationships/hyperlink" Target="https://sgdoc.codelco.cl/sgdoc-mobile/stream?id=09024abd93eb1008&amp;inline=true" TargetMode="External"/><Relationship Id="rId268" Type="http://schemas.openxmlformats.org/officeDocument/2006/relationships/hyperlink" Target="https://sgdoc.codelco.cl/sgdoc-mobile/stream?id=09024abd96c182f1&amp;inline=true" TargetMode="External"/><Relationship Id="rId32" Type="http://schemas.openxmlformats.org/officeDocument/2006/relationships/hyperlink" Target="https://sgdoc.codelco.cl/sgdoc-mobile/stream?id=09024abd94f87fa9&amp;inline=true" TargetMode="External"/><Relationship Id="rId74" Type="http://schemas.openxmlformats.org/officeDocument/2006/relationships/hyperlink" Target="https://sgdoc.codelco.cl/sgdoc-mobile/stream?id=09024abd93447a97&amp;inline=true" TargetMode="External"/><Relationship Id="rId128" Type="http://schemas.openxmlformats.org/officeDocument/2006/relationships/hyperlink" Target="https://sgdoc.codelco.cl/sgdoc-mobile/stream?id=09024abd9447126b&amp;inline=true" TargetMode="External"/><Relationship Id="rId5" Type="http://schemas.openxmlformats.org/officeDocument/2006/relationships/hyperlink" Target="https://sgdoc.codelco.cl/sgdoc-mobile/stream?id=09024abd93db2af5&amp;inline=true" TargetMode="External"/><Relationship Id="rId181" Type="http://schemas.openxmlformats.org/officeDocument/2006/relationships/hyperlink" Target="https://sgdoc.codelco.cl/sgdoc-mobile/stream?id=09024abd94c6d01c&amp;inline=true" TargetMode="External"/><Relationship Id="rId237" Type="http://schemas.openxmlformats.org/officeDocument/2006/relationships/hyperlink" Target="https://sgdoc.codelco.cl/sgdoc-mobile/stream?id=09024abd93ae6a86&amp;inline=true" TargetMode="External"/><Relationship Id="rId279" Type="http://schemas.openxmlformats.org/officeDocument/2006/relationships/hyperlink" Target="https://sgdoc.codelco.cl/sgdoc-mobile/stream?id=09024abd92ee3b0a&amp;inline=true" TargetMode="External"/><Relationship Id="rId43" Type="http://schemas.openxmlformats.org/officeDocument/2006/relationships/hyperlink" Target="https://sgdoc.codelco.cl/sgdoc-mobile/stream?id=09024abd93bab9a5&amp;inline=true" TargetMode="External"/><Relationship Id="rId139" Type="http://schemas.openxmlformats.org/officeDocument/2006/relationships/hyperlink" Target="https://sgdoc.codelco.cl/sgdoc-mobile/stream?id=09024abd946abaf5&amp;inline=true" TargetMode="External"/><Relationship Id="rId290" Type="http://schemas.openxmlformats.org/officeDocument/2006/relationships/hyperlink" Target="https://sgdoc.codelco.cl/sgdoc-mobile/stream?id=09024abd92ddaaaf&amp;inline=true" TargetMode="External"/><Relationship Id="rId304" Type="http://schemas.openxmlformats.org/officeDocument/2006/relationships/hyperlink" Target="https://sgdoc.codelco.cl/sgdoc-mobile/stream?id=09024abd99569e1a&amp;inline=true" TargetMode="External"/><Relationship Id="rId85" Type="http://schemas.openxmlformats.org/officeDocument/2006/relationships/hyperlink" Target="https://sgdoc.codelco.cl/sgdoc-mobile/stream?id=09024abd94f88fb9&amp;inline=true" TargetMode="External"/><Relationship Id="rId150" Type="http://schemas.openxmlformats.org/officeDocument/2006/relationships/hyperlink" Target="https://sgdoc.codelco.cl/sgdoc-mobile/stream?id=09024abd946adfed&amp;inline=true" TargetMode="External"/><Relationship Id="rId192" Type="http://schemas.openxmlformats.org/officeDocument/2006/relationships/hyperlink" Target="https://sgdoc.codelco.cl/sgdoc-mobile/stream?id=09024abd93f4e4a9&amp;inline=true" TargetMode="External"/><Relationship Id="rId206" Type="http://schemas.openxmlformats.org/officeDocument/2006/relationships/hyperlink" Target="https://sgdoc.codelco.cl/sgdoc-mobile/stream?id=09024abd9410a123&amp;inline=true" TargetMode="External"/><Relationship Id="rId248" Type="http://schemas.openxmlformats.org/officeDocument/2006/relationships/hyperlink" Target="https://sgdoc.codelco.cl/sgdoc-mobile/stream?id=09024abd9281a749&amp;inline=true" TargetMode="External"/><Relationship Id="rId12" Type="http://schemas.openxmlformats.org/officeDocument/2006/relationships/hyperlink" Target="https://sgdoc.codelco.cl/sgdoc-mobile/stream?id=09024abd92d648aa&amp;inline=true" TargetMode="External"/><Relationship Id="rId108" Type="http://schemas.openxmlformats.org/officeDocument/2006/relationships/hyperlink" Target="https://sgdoc.codelco.cl/sgdoc-mobile/stream?id=09024abd946b7fa4&amp;inline=true" TargetMode="External"/><Relationship Id="rId315" Type="http://schemas.openxmlformats.org/officeDocument/2006/relationships/hyperlink" Target="https://sgdoc.codelco.cl/sgdoc-mobile/stream?id=09024abd9a6cd851&amp;inline=true" TargetMode="External"/><Relationship Id="rId54" Type="http://schemas.openxmlformats.org/officeDocument/2006/relationships/hyperlink" Target="https://sgdoc.codelco.cl/sgdoc-mobile/stream?id=09024abd93d9fda5&amp;inline=true" TargetMode="External"/><Relationship Id="rId96" Type="http://schemas.openxmlformats.org/officeDocument/2006/relationships/hyperlink" Target="https://sgdoc.codelco.cl/sgdoc-mobile/stream?id=09024abd951d5439&amp;inline=true" TargetMode="External"/><Relationship Id="rId161" Type="http://schemas.openxmlformats.org/officeDocument/2006/relationships/hyperlink" Target="https://sgdoc.codelco.cl/sgdoc-mobile/stream?id=09024abd94474470&amp;inline=true" TargetMode="External"/><Relationship Id="rId217" Type="http://schemas.openxmlformats.org/officeDocument/2006/relationships/hyperlink" Target="https://sgdoc.codelco.cl/sgdoc-mobile/stream?id=09024abd920826a9&amp;inline=true" TargetMode="External"/><Relationship Id="rId259" Type="http://schemas.openxmlformats.org/officeDocument/2006/relationships/hyperlink" Target="https://sgdoc.codelco.cl/sgdoc-mobile/stream?id=09024abd9410a16b&amp;inline=true" TargetMode="External"/><Relationship Id="rId23" Type="http://schemas.openxmlformats.org/officeDocument/2006/relationships/hyperlink" Target="https://sgdoc.codelco.cl/sgdoc-mobile/stream?id=09024abd94b0ca7d&amp;inline=true" TargetMode="External"/><Relationship Id="rId119" Type="http://schemas.openxmlformats.org/officeDocument/2006/relationships/hyperlink" Target="https://sgdoc.codelco.cl/sgdoc-mobile/stream?id=09024abd93cc76a0&amp;inline=true" TargetMode="External"/><Relationship Id="rId270" Type="http://schemas.openxmlformats.org/officeDocument/2006/relationships/hyperlink" Target="https://sgdoc.codelco.cl/sgdoc-mobile/stream?id=09024abd93ae6cb1&amp;inline=true" TargetMode="External"/><Relationship Id="rId65" Type="http://schemas.openxmlformats.org/officeDocument/2006/relationships/hyperlink" Target="https://sgdoc.codelco.cl/sgdoc-mobile/stream?id=09024abd93aba101&amp;inline=true" TargetMode="External"/><Relationship Id="rId130" Type="http://schemas.openxmlformats.org/officeDocument/2006/relationships/hyperlink" Target="https://sgdoc.codelco.cl/sgdoc-mobile/stream?id=09024abd93aba138&amp;inline=true" TargetMode="External"/><Relationship Id="rId172" Type="http://schemas.openxmlformats.org/officeDocument/2006/relationships/hyperlink" Target="https://sgdoc.codelco.cl/sgdoc-mobile/stream?id=09024abd9344864e&amp;inline=true" TargetMode="External"/><Relationship Id="rId228" Type="http://schemas.openxmlformats.org/officeDocument/2006/relationships/hyperlink" Target="https://sgdoc.codelco.cl/sgdoc-mobile/stream?id=09024abd93eea889&amp;inline=true" TargetMode="External"/><Relationship Id="rId281" Type="http://schemas.openxmlformats.org/officeDocument/2006/relationships/hyperlink" Target="https://sgdoc.codelco.cl/sgdoc-mobile/stream?id=09024abd94f8ac6c&amp;inline=true" TargetMode="External"/><Relationship Id="rId34" Type="http://schemas.openxmlformats.org/officeDocument/2006/relationships/hyperlink" Target="https://sgdoc.codelco.cl/sgdoc-mobile/stream?id=09024abd95125de6&amp;inline=true" TargetMode="External"/><Relationship Id="rId55" Type="http://schemas.openxmlformats.org/officeDocument/2006/relationships/hyperlink" Target="https://sgdoc.codelco.cl/sgdoc-mobile/stream?id=09024abd942bb4ca&amp;inline=true" TargetMode="External"/><Relationship Id="rId76" Type="http://schemas.openxmlformats.org/officeDocument/2006/relationships/hyperlink" Target="https://sgdoc.codelco.cl/sgdoc-mobile/stream?id=09024abd939750ee&amp;inline=true" TargetMode="External"/><Relationship Id="rId97" Type="http://schemas.openxmlformats.org/officeDocument/2006/relationships/hyperlink" Target="https://sgdoc.codelco.cl/sgdoc-mobile/stream?id=09024abd93ec0b1e&amp;inline=true" TargetMode="External"/><Relationship Id="rId120" Type="http://schemas.openxmlformats.org/officeDocument/2006/relationships/hyperlink" Target="https://sgdoc.codelco.cl/sgdoc-mobile/stream?id=09024abd93cc77eb&amp;inline=true" TargetMode="External"/><Relationship Id="rId141" Type="http://schemas.openxmlformats.org/officeDocument/2006/relationships/hyperlink" Target="https://sgdoc.codelco.cl/sgdoc-mobile/stream?id=09024abd946abcad&amp;inline=true" TargetMode="External"/><Relationship Id="rId7" Type="http://schemas.openxmlformats.org/officeDocument/2006/relationships/hyperlink" Target="https://sgdoc.codelco.cl/sgdoc-mobile/stream?id=09024abd943a5a7e&amp;inline=true" TargetMode="External"/><Relationship Id="rId162" Type="http://schemas.openxmlformats.org/officeDocument/2006/relationships/hyperlink" Target="https://sgdoc.codelco.cl/sgdoc-mobile/stream?id=09024abd944744a2&amp;inline=true" TargetMode="External"/><Relationship Id="rId183" Type="http://schemas.openxmlformats.org/officeDocument/2006/relationships/hyperlink" Target="https://sgdoc.codelco.cl/sgdoc-mobile/stream?id=09024abd94c6d31f&amp;inline=true" TargetMode="External"/><Relationship Id="rId218" Type="http://schemas.openxmlformats.org/officeDocument/2006/relationships/hyperlink" Target="https://sgdoc.codelco.cl/sgdoc-mobile/stream?id=09024abd929dc90c&amp;inline=true" TargetMode="External"/><Relationship Id="rId239" Type="http://schemas.openxmlformats.org/officeDocument/2006/relationships/hyperlink" Target="https://sgdoc.codelco.cl/sgdoc-mobile/stream?id=09024abd92a621a1&amp;inline=true" TargetMode="External"/><Relationship Id="rId250" Type="http://schemas.openxmlformats.org/officeDocument/2006/relationships/hyperlink" Target="https://sgdoc.codelco.cl/sgdoc-mobile/stream?id=09024abd9226f3e4&amp;inline=true" TargetMode="External"/><Relationship Id="rId271" Type="http://schemas.openxmlformats.org/officeDocument/2006/relationships/hyperlink" Target="https://sgdoc.codelco.cl/sgdoc-mobile/stream?id=09024abd92a651f0&amp;inline=true" TargetMode="External"/><Relationship Id="rId292" Type="http://schemas.openxmlformats.org/officeDocument/2006/relationships/hyperlink" Target="https://sgdoc.codelco.cl/sgdoc-mobile/stream?id=09024abd92756aed&amp;inline=true" TargetMode="External"/><Relationship Id="rId306" Type="http://schemas.openxmlformats.org/officeDocument/2006/relationships/hyperlink" Target="https://sgdoc.codelco.cl/sgdoc-mobile/stream?id=09024abd99567a86&amp;inline=true" TargetMode="External"/><Relationship Id="rId24" Type="http://schemas.openxmlformats.org/officeDocument/2006/relationships/hyperlink" Target="https://sgdoc.codelco.cl/sgdoc-mobile/stream?id=09024abd94b1a867&amp;inline=true" TargetMode="External"/><Relationship Id="rId45" Type="http://schemas.openxmlformats.org/officeDocument/2006/relationships/hyperlink" Target="https://sgdoc.codelco.cl/sgdoc-mobile/stream?id=09024abd947f0a74&amp;inline=true" TargetMode="External"/><Relationship Id="rId66" Type="http://schemas.openxmlformats.org/officeDocument/2006/relationships/hyperlink" Target="https://sgdoc.codelco.cl/sgdoc-mobile/stream?id=09024abd946a71de&amp;inline=true" TargetMode="External"/><Relationship Id="rId87" Type="http://schemas.openxmlformats.org/officeDocument/2006/relationships/hyperlink" Target="https://sgdoc.codelco.cl/sgdoc-mobile/stream?id=09024abd94f89929&amp;inline=true" TargetMode="External"/><Relationship Id="rId110" Type="http://schemas.openxmlformats.org/officeDocument/2006/relationships/hyperlink" Target="https://sgdoc.codelco.cl/sgdoc-mobile/stream?id=09024abd946b8864&amp;inline=true" TargetMode="External"/><Relationship Id="rId131" Type="http://schemas.openxmlformats.org/officeDocument/2006/relationships/hyperlink" Target="https://sgdoc.codelco.cl/sgdoc-mobile/stream?id=09024abd93aba149&amp;inline=true" TargetMode="External"/><Relationship Id="rId152" Type="http://schemas.openxmlformats.org/officeDocument/2006/relationships/hyperlink" Target="https://sgdoc.codelco.cl/sgdoc-mobile/stream?id=09024abd947ef159&amp;inline=true" TargetMode="External"/><Relationship Id="rId173" Type="http://schemas.openxmlformats.org/officeDocument/2006/relationships/hyperlink" Target="https://sgdoc.codelco.cl/sgdoc-mobile/stream?id=09024abd939761d0&amp;inline=true" TargetMode="External"/><Relationship Id="rId194" Type="http://schemas.openxmlformats.org/officeDocument/2006/relationships/hyperlink" Target="https://sgdoc.codelco.cl/sgdoc-mobile/stream?id=09024abd927557a3&amp;inline=true" TargetMode="External"/><Relationship Id="rId208" Type="http://schemas.openxmlformats.org/officeDocument/2006/relationships/hyperlink" Target="https://sgdoc.codelco.cl/sgdoc-mobile/stream?id=09024abd95596e07&amp;inline=true" TargetMode="External"/><Relationship Id="rId229" Type="http://schemas.openxmlformats.org/officeDocument/2006/relationships/hyperlink" Target="https://sgdoc.codelco.cl/sgdoc-mobile/stream?id=09024abd93eea8eb&amp;inline=true" TargetMode="External"/><Relationship Id="rId240" Type="http://schemas.openxmlformats.org/officeDocument/2006/relationships/hyperlink" Target="https://sgdoc.codelco.cl/sgdoc-mobile/stream?id=09024abd92dd7a3b&amp;inline=true" TargetMode="External"/><Relationship Id="rId261" Type="http://schemas.openxmlformats.org/officeDocument/2006/relationships/hyperlink" Target="https://sgdoc.codelco.cl/sgdoc-mobile/stream?id=09024abd946a6952&amp;inline=true" TargetMode="External"/><Relationship Id="rId14" Type="http://schemas.openxmlformats.org/officeDocument/2006/relationships/hyperlink" Target="https://sgdoc.codelco.cl/sgdoc-mobile/stream?id=09024abd94acbec8&amp;inline=true" TargetMode="External"/><Relationship Id="rId35" Type="http://schemas.openxmlformats.org/officeDocument/2006/relationships/hyperlink" Target="https://sgdoc.codelco.cl/sgdoc-mobile/stream?id=09024abd94f88ad0&amp;inline=true" TargetMode="External"/><Relationship Id="rId56" Type="http://schemas.openxmlformats.org/officeDocument/2006/relationships/hyperlink" Target="https://sgdoc.codelco.cl/sgdoc-mobile/stream?id=09024abd942bb673&amp;inline=true" TargetMode="External"/><Relationship Id="rId77" Type="http://schemas.openxmlformats.org/officeDocument/2006/relationships/hyperlink" Target="https://sgdoc.codelco.cl/sgdoc-mobile/stream?id=09024abd94e92c64&amp;inline=true" TargetMode="External"/><Relationship Id="rId100" Type="http://schemas.openxmlformats.org/officeDocument/2006/relationships/hyperlink" Target="https://sgdoc.codelco.cl/sgdoc-mobile/stream?id=09024abd944743c5&amp;inline=true" TargetMode="External"/><Relationship Id="rId282" Type="http://schemas.openxmlformats.org/officeDocument/2006/relationships/hyperlink" Target="https://sgdoc.codelco.cl/sgdoc-mobile/stream?id=09024abd9319ef41&amp;inline=true" TargetMode="External"/><Relationship Id="rId317" Type="http://schemas.openxmlformats.org/officeDocument/2006/relationships/hyperlink" Target="https://sgdoc.codelco.cl/sgdoc-mobile/stream?id=09024abd9a6ce4a6&amp;inline=true" TargetMode="External"/><Relationship Id="rId8" Type="http://schemas.openxmlformats.org/officeDocument/2006/relationships/hyperlink" Target="https://sgdoc.codelco.cl/sgdoc-mobile/stream?id=09024abd9446bd3b&amp;inline=true" TargetMode="External"/><Relationship Id="rId98" Type="http://schemas.openxmlformats.org/officeDocument/2006/relationships/hyperlink" Target="https://sgdoc.codelco.cl/sgdoc-mobile/stream?id=09024abd956680ed&amp;inline=true" TargetMode="External"/><Relationship Id="rId121" Type="http://schemas.openxmlformats.org/officeDocument/2006/relationships/hyperlink" Target="https://sgdoc.codelco.cl/sgdoc-mobile/stream?id=09024abd93cc7aaa&amp;inline=true" TargetMode="External"/><Relationship Id="rId142" Type="http://schemas.openxmlformats.org/officeDocument/2006/relationships/hyperlink" Target="https://sgdoc.codelco.cl/sgdoc-mobile/stream?id=09024abd946abfb6&amp;inline=true" TargetMode="External"/><Relationship Id="rId163" Type="http://schemas.openxmlformats.org/officeDocument/2006/relationships/hyperlink" Target="https://sgdoc.codelco.cl/sgdoc-mobile/stream?id=09024abd944744e9&amp;inline=true" TargetMode="External"/><Relationship Id="rId184" Type="http://schemas.openxmlformats.org/officeDocument/2006/relationships/hyperlink" Target="https://sgdoc.codelco.cl/sgdoc-mobile/stream?id=09024abd94c6d423&amp;inline=true" TargetMode="External"/><Relationship Id="rId219" Type="http://schemas.openxmlformats.org/officeDocument/2006/relationships/hyperlink" Target="https://sgdoc.codelco.cl/sgdoc-mobile/stream?id=09024abd93d9e318&amp;inline=true" TargetMode="External"/><Relationship Id="rId230" Type="http://schemas.openxmlformats.org/officeDocument/2006/relationships/hyperlink" Target="https://sgdoc.codelco.cl/sgdoc-mobile/stream?id=09024abd92bae85c&amp;inline=true" TargetMode="External"/><Relationship Id="rId251" Type="http://schemas.openxmlformats.org/officeDocument/2006/relationships/hyperlink" Target="https://sgdoc.codelco.cl/sgdoc-mobile/stream?id=09024abd938a36fa&amp;inline=true" TargetMode="External"/><Relationship Id="rId25" Type="http://schemas.openxmlformats.org/officeDocument/2006/relationships/hyperlink" Target="https://sgdoc.codelco.cl/sgdoc-mobile/stream?id=09024abd94b1ac3d&amp;inline=true" TargetMode="External"/><Relationship Id="rId46" Type="http://schemas.openxmlformats.org/officeDocument/2006/relationships/hyperlink" Target="https://sgdoc.codelco.cl/sgdoc-mobile/stream?id=09024abd94722304&amp;inline=true" TargetMode="External"/><Relationship Id="rId67" Type="http://schemas.openxmlformats.org/officeDocument/2006/relationships/hyperlink" Target="https://sgdoc.codelco.cl/sgdoc-mobile/stream?id=09024abd93aba126&amp;inline=true" TargetMode="External"/><Relationship Id="rId272" Type="http://schemas.openxmlformats.org/officeDocument/2006/relationships/hyperlink" Target="https://sgdoc.codelco.cl/sgdoc-mobile/stream?id=09024abd92d056a7&amp;inline=true" TargetMode="External"/><Relationship Id="rId293" Type="http://schemas.openxmlformats.org/officeDocument/2006/relationships/hyperlink" Target="https://sgdoc.codelco.cl/sgdoc-mobile/stream?id=09024abd92dd8824&amp;inline=true" TargetMode="External"/><Relationship Id="rId307" Type="http://schemas.openxmlformats.org/officeDocument/2006/relationships/hyperlink" Target="https://sgdoc.codelco.cl/sgdoc-mobile/stream?id=09024abd993f6c32&amp;inline=true" TargetMode="External"/><Relationship Id="rId88" Type="http://schemas.openxmlformats.org/officeDocument/2006/relationships/hyperlink" Target="https://sgdoc.codelco.cl/sgdoc-mobile/stream?id=09024abd94f8947b&amp;inline=true" TargetMode="External"/><Relationship Id="rId111" Type="http://schemas.openxmlformats.org/officeDocument/2006/relationships/hyperlink" Target="https://sgdoc.codelco.cl/sgdoc-mobile/stream?id=09024abd93ec7073&amp;inline=true" TargetMode="External"/><Relationship Id="rId132" Type="http://schemas.openxmlformats.org/officeDocument/2006/relationships/hyperlink" Target="https://sgdoc.codelco.cl/sgdoc-mobile/stream?id=09024abd93aba14f&amp;inline=true" TargetMode="External"/><Relationship Id="rId153" Type="http://schemas.openxmlformats.org/officeDocument/2006/relationships/hyperlink" Target="https://sgdoc.codelco.cl/sgdoc-mobile/stream?id=09024abd947ef346&amp;inline=true" TargetMode="External"/><Relationship Id="rId174" Type="http://schemas.openxmlformats.org/officeDocument/2006/relationships/hyperlink" Target="https://sgdoc.codelco.cl/sgdoc-mobile/stream?id=09024abd96799cbc&amp;inline=true" TargetMode="External"/><Relationship Id="rId195" Type="http://schemas.openxmlformats.org/officeDocument/2006/relationships/hyperlink" Target="https://sgdoc.codelco.cl/sgdoc-mobile/stream?id=09024abd92756158&amp;inline=true" TargetMode="External"/><Relationship Id="rId209" Type="http://schemas.openxmlformats.org/officeDocument/2006/relationships/hyperlink" Target="https://sgdoc.codelco.cl/sgdoc-mobile/stream?id=09024abd94f8ac2f&amp;inline=true" TargetMode="External"/><Relationship Id="rId220" Type="http://schemas.openxmlformats.org/officeDocument/2006/relationships/hyperlink" Target="https://sgdoc.codelco.cl/sgdoc-mobile/stream?id=09024abd94b098ea&amp;inline=true" TargetMode="External"/><Relationship Id="rId241" Type="http://schemas.openxmlformats.org/officeDocument/2006/relationships/hyperlink" Target="https://sgdoc.codelco.cl/sgdoc-mobile/stream?id=09024abd9401ecaa&amp;inline=true" TargetMode="External"/><Relationship Id="rId15" Type="http://schemas.openxmlformats.org/officeDocument/2006/relationships/hyperlink" Target="https://sgdoc.codelco.cl/sgdoc-mobile/stream?id=09024abd94acc1cb&amp;inline=true" TargetMode="External"/><Relationship Id="rId36" Type="http://schemas.openxmlformats.org/officeDocument/2006/relationships/hyperlink" Target="https://sgdoc.codelco.cl/sgdoc-mobile/stream?id=09024abd951264a1&amp;inline=true" TargetMode="External"/><Relationship Id="rId57" Type="http://schemas.openxmlformats.org/officeDocument/2006/relationships/hyperlink" Target="https://sgdoc.codelco.cl/sgdoc-mobile/stream?id=09024abd92feb015&amp;inline=true" TargetMode="External"/><Relationship Id="rId262" Type="http://schemas.openxmlformats.org/officeDocument/2006/relationships/hyperlink" Target="https://sgdoc.codelco.cl/sgdoc-mobile/stream?id=09024abd94b09368&amp;inline=true" TargetMode="External"/><Relationship Id="rId283" Type="http://schemas.openxmlformats.org/officeDocument/2006/relationships/hyperlink" Target="https://sgdoc.codelco.cl/sgdoc-mobile/stream?id=09024abd92d3d6c5&amp;inline=true" TargetMode="External"/><Relationship Id="rId318" Type="http://schemas.openxmlformats.org/officeDocument/2006/relationships/hyperlink" Target="https://sgdoc.codelco.cl/sgdoc-mobile/stream?id=09024abd9a6ce584&amp;inline=true" TargetMode="External"/><Relationship Id="rId78" Type="http://schemas.openxmlformats.org/officeDocument/2006/relationships/hyperlink" Target="https://sgdoc.codelco.cl/sgdoc-mobile/stream?id=09024abd946b091a&amp;inline=true" TargetMode="External"/><Relationship Id="rId99" Type="http://schemas.openxmlformats.org/officeDocument/2006/relationships/hyperlink" Target="https://sgdoc.codelco.cl/sgdoc-mobile/stream?id=09024abd93ec1bc4&amp;inline=true" TargetMode="External"/><Relationship Id="rId101" Type="http://schemas.openxmlformats.org/officeDocument/2006/relationships/hyperlink" Target="https://sgdoc.codelco.cl/sgdoc-mobile/stream?id=09024abd93ec6ab1&amp;inline=true" TargetMode="External"/><Relationship Id="rId122" Type="http://schemas.openxmlformats.org/officeDocument/2006/relationships/hyperlink" Target="https://sgdoc.codelco.cl/sgdoc-mobile/stream?id=09024abd93cc7b9a&amp;inline=true" TargetMode="External"/><Relationship Id="rId143" Type="http://schemas.openxmlformats.org/officeDocument/2006/relationships/hyperlink" Target="https://sgdoc.codelco.cl/sgdoc-mobile/stream?id=09024abd946ac7c6&amp;inline=true" TargetMode="External"/><Relationship Id="rId164" Type="http://schemas.openxmlformats.org/officeDocument/2006/relationships/hyperlink" Target="https://sgdoc.codelco.cl/sgdoc-mobile/stream?id=09024abd94474548&amp;inline=true" TargetMode="External"/><Relationship Id="rId185" Type="http://schemas.openxmlformats.org/officeDocument/2006/relationships/hyperlink" Target="https://sgdoc.codelco.cl/sgdoc-mobile/stream?id=09024abd954479fa&amp;inline=true" TargetMode="External"/><Relationship Id="rId9" Type="http://schemas.openxmlformats.org/officeDocument/2006/relationships/hyperlink" Target="https://sgdoc.codelco.cl/sgdoc-mobile/stream?id=09024abd9446c02b&amp;inline=true" TargetMode="External"/><Relationship Id="rId210" Type="http://schemas.openxmlformats.org/officeDocument/2006/relationships/hyperlink" Target="https://sgdoc.codelco.cl/sgdoc-mobile/stream?id=09024abd9284a547&amp;inline=true" TargetMode="External"/><Relationship Id="rId26" Type="http://schemas.openxmlformats.org/officeDocument/2006/relationships/hyperlink" Target="https://sgdoc.codelco.cl/sgdoc-mobile/stream?id=09024abd95598e76&amp;inline=true" TargetMode="External"/><Relationship Id="rId231" Type="http://schemas.openxmlformats.org/officeDocument/2006/relationships/hyperlink" Target="https://sgdoc.codelco.cl/sgdoc-mobile/stream?id=09024abd93eea920&amp;inline=true" TargetMode="External"/><Relationship Id="rId252" Type="http://schemas.openxmlformats.org/officeDocument/2006/relationships/hyperlink" Target="https://sgdoc.codelco.cl/sgdoc-mobile/stream?id=09024abd93f4e4d1&amp;inline=true" TargetMode="External"/><Relationship Id="rId273" Type="http://schemas.openxmlformats.org/officeDocument/2006/relationships/hyperlink" Target="https://sgdoc.codelco.cl/sgdoc-mobile/stream?id=09024abd92d057f0&amp;inline=true" TargetMode="External"/><Relationship Id="rId294" Type="http://schemas.openxmlformats.org/officeDocument/2006/relationships/hyperlink" Target="https://sgdoc.codelco.cl/sgdoc-mobile/stream?id=09024abd92a6a024&amp;inline=true" TargetMode="External"/><Relationship Id="rId308" Type="http://schemas.openxmlformats.org/officeDocument/2006/relationships/hyperlink" Target="https://sgdoc.codelco.cl/sgdoc-mobile/stream?id=09024abd993f9301&amp;inline=true" TargetMode="External"/><Relationship Id="rId47" Type="http://schemas.openxmlformats.org/officeDocument/2006/relationships/hyperlink" Target="https://sgdoc.codelco.cl/sgdoc-mobile/stream?id=09024abd9472278e&amp;inline=true" TargetMode="External"/><Relationship Id="rId68" Type="http://schemas.openxmlformats.org/officeDocument/2006/relationships/hyperlink" Target="https://sgdoc.codelco.cl/sgdoc-mobile/stream?id=09024abd946b1d9c&amp;inline=true" TargetMode="External"/><Relationship Id="rId89" Type="http://schemas.openxmlformats.org/officeDocument/2006/relationships/hyperlink" Target="https://sgdoc.codelco.cl/sgdoc-mobile/stream?id=09024abd96cad091&amp;inline=true" TargetMode="External"/><Relationship Id="rId112" Type="http://schemas.openxmlformats.org/officeDocument/2006/relationships/hyperlink" Target="https://sgdoc.codelco.cl/sgdoc-mobile/stream?id=09024abd94ad12da&amp;inline=true" TargetMode="External"/><Relationship Id="rId133" Type="http://schemas.openxmlformats.org/officeDocument/2006/relationships/hyperlink" Target="https://sgdoc.codelco.cl/sgdoc-mobile/stream?id=09024abd93c7c0df&amp;inline=true" TargetMode="External"/><Relationship Id="rId154" Type="http://schemas.openxmlformats.org/officeDocument/2006/relationships/hyperlink" Target="https://sgdoc.codelco.cl/sgdoc-mobile/stream?id=09024abd940a031d&amp;inline=true" TargetMode="External"/><Relationship Id="rId175" Type="http://schemas.openxmlformats.org/officeDocument/2006/relationships/hyperlink" Target="https://sgdoc.codelco.cl/sgdoc-mobile/stream?id=09024abd93ee92b4&amp;inline=true" TargetMode="External"/><Relationship Id="rId196" Type="http://schemas.openxmlformats.org/officeDocument/2006/relationships/hyperlink" Target="https://sgdoc.codelco.cl/sgdoc-mobile/stream?id=09024abd91e6a32b&amp;inline=true" TargetMode="External"/><Relationship Id="rId200" Type="http://schemas.openxmlformats.org/officeDocument/2006/relationships/hyperlink" Target="https://sgdoc.codelco.cl/sgdoc-mobile/stream?id=09024abd95447461&amp;inline=true" TargetMode="External"/><Relationship Id="rId16" Type="http://schemas.openxmlformats.org/officeDocument/2006/relationships/hyperlink" Target="https://sgdoc.codelco.cl/sgdoc-mobile/stream?id=09024abd9390e10e&amp;inline=true" TargetMode="External"/><Relationship Id="rId221" Type="http://schemas.openxmlformats.org/officeDocument/2006/relationships/hyperlink" Target="https://sgdoc.codelco.cl/sgdoc-mobile/stream?id=09024abd932fabab&amp;inline=true" TargetMode="External"/><Relationship Id="rId242" Type="http://schemas.openxmlformats.org/officeDocument/2006/relationships/hyperlink" Target="https://sgdoc.codelco.cl/sgdoc-mobile/stream?id=09024abd92dd7c58&amp;inline=true" TargetMode="External"/><Relationship Id="rId263" Type="http://schemas.openxmlformats.org/officeDocument/2006/relationships/hyperlink" Target="https://sgdoc.codelco.cl/sgdoc-mobile/stream?id=09024abd93d9ef3a&amp;inline=true" TargetMode="External"/><Relationship Id="rId284" Type="http://schemas.openxmlformats.org/officeDocument/2006/relationships/hyperlink" Target="https://sgdoc.codelco.cl/sgdoc-mobile/stream?id=09024abd92fa8516&amp;inline=true" TargetMode="External"/><Relationship Id="rId319" Type="http://schemas.openxmlformats.org/officeDocument/2006/relationships/hyperlink" Target="https://sgdoc.codelco.cl/sgdoc-mobile/stream?id=09024abd9a6ce684&amp;inline=true" TargetMode="External"/><Relationship Id="rId37" Type="http://schemas.openxmlformats.org/officeDocument/2006/relationships/hyperlink" Target="https://sgdoc.codelco.cl/sgdoc-mobile/stream?id=09024abd951d3fe9&amp;inline=true" TargetMode="External"/><Relationship Id="rId58" Type="http://schemas.openxmlformats.org/officeDocument/2006/relationships/hyperlink" Target="https://sgdoc.codelco.cl/sgdoc-mobile/stream?id=09024abd9390e189&amp;inline=true" TargetMode="External"/><Relationship Id="rId79" Type="http://schemas.openxmlformats.org/officeDocument/2006/relationships/hyperlink" Target="https://sgdoc.codelco.cl/sgdoc-mobile/stream?id=09024abd946b2628&amp;inline=true" TargetMode="External"/><Relationship Id="rId102" Type="http://schemas.openxmlformats.org/officeDocument/2006/relationships/hyperlink" Target="https://sgdoc.codelco.cl/sgdoc-mobile/stream?id=09024abd944e68c2&amp;inline=true" TargetMode="External"/><Relationship Id="rId123" Type="http://schemas.openxmlformats.org/officeDocument/2006/relationships/hyperlink" Target="https://sgdoc.codelco.cl/sgdoc-mobile/stream?id=09024abd93ccb2ff&amp;inline=true" TargetMode="External"/><Relationship Id="rId144" Type="http://schemas.openxmlformats.org/officeDocument/2006/relationships/hyperlink" Target="https://sgdoc.codelco.cl/sgdoc-mobile/stream?id=09024abd946acba8&amp;inline=true" TargetMode="External"/><Relationship Id="rId90" Type="http://schemas.openxmlformats.org/officeDocument/2006/relationships/hyperlink" Target="https://sgdoc.codelco.cl/sgdoc-mobile/stream?id=09024abd944704a2&amp;inline=true" TargetMode="External"/><Relationship Id="rId165" Type="http://schemas.openxmlformats.org/officeDocument/2006/relationships/hyperlink" Target="https://sgdoc.codelco.cl/sgdoc-mobile/stream?id=09024abd944745be&amp;inline=true" TargetMode="External"/><Relationship Id="rId186" Type="http://schemas.openxmlformats.org/officeDocument/2006/relationships/hyperlink" Target="https://sgdoc.codelco.cl/sgdoc-mobile/stream?id=09024abd94c6dd30&amp;inline=true" TargetMode="External"/><Relationship Id="rId211" Type="http://schemas.openxmlformats.org/officeDocument/2006/relationships/hyperlink" Target="https://sgdoc.codelco.cl/sgdoc-mobile/stream?id=09024abd92756229&amp;inline=true" TargetMode="External"/><Relationship Id="rId232" Type="http://schemas.openxmlformats.org/officeDocument/2006/relationships/hyperlink" Target="https://sgdoc.codelco.cl/sgdoc-mobile/stream?id=09024abd93e007cd&amp;inline=true" TargetMode="External"/><Relationship Id="rId253" Type="http://schemas.openxmlformats.org/officeDocument/2006/relationships/hyperlink" Target="https://sgdoc.codelco.cl/sgdoc-mobile/stream?id=09024abd93f4e501&amp;inline=true" TargetMode="External"/><Relationship Id="rId274" Type="http://schemas.openxmlformats.org/officeDocument/2006/relationships/hyperlink" Target="https://sgdoc.codelco.cl/sgdoc-mobile/stream?id=09024abd92d3ebb4&amp;inline=true" TargetMode="External"/><Relationship Id="rId295" Type="http://schemas.openxmlformats.org/officeDocument/2006/relationships/hyperlink" Target="https://sgdoc.codelco.cl/sgdoc-mobile/stream?id=09024abd920c5761&amp;inline=true" TargetMode="External"/><Relationship Id="rId309" Type="http://schemas.openxmlformats.org/officeDocument/2006/relationships/hyperlink" Target="https://sgdoc.codelco.cl/sgdoc-mobile/stream?id=09024abd99bc35b8&amp;inline=true" TargetMode="External"/><Relationship Id="rId27" Type="http://schemas.openxmlformats.org/officeDocument/2006/relationships/hyperlink" Target="https://sgdoc.codelco.cl/sgdoc-mobile/stream?id=09024abd9509fe89&amp;inline=true" TargetMode="External"/><Relationship Id="rId48" Type="http://schemas.openxmlformats.org/officeDocument/2006/relationships/hyperlink" Target="https://sgdoc.codelco.cl/sgdoc-mobile/stream?id=09024abd943a6114&amp;inline=true" TargetMode="External"/><Relationship Id="rId69" Type="http://schemas.openxmlformats.org/officeDocument/2006/relationships/hyperlink" Target="https://sgdoc.codelco.cl/sgdoc-mobile/stream?id=09024abd946b213d&amp;inline=true" TargetMode="External"/><Relationship Id="rId113" Type="http://schemas.openxmlformats.org/officeDocument/2006/relationships/hyperlink" Target="https://sgdoc.codelco.cl/sgdoc-mobile/stream?id=09024abd9504519a&amp;inline=true" TargetMode="External"/><Relationship Id="rId134" Type="http://schemas.openxmlformats.org/officeDocument/2006/relationships/hyperlink" Target="https://sgdoc.codelco.cl/sgdoc-mobile/stream?id=09024abd946a857c&amp;inline=true" TargetMode="External"/><Relationship Id="rId320" Type="http://schemas.openxmlformats.org/officeDocument/2006/relationships/hyperlink" Target="https://sgdoc.codelco.cl/sgdoc-mobile/stream?id=09024abd9a0aa313&amp;inline=true" TargetMode="External"/><Relationship Id="rId80" Type="http://schemas.openxmlformats.org/officeDocument/2006/relationships/hyperlink" Target="https://sgdoc.codelco.cl/sgdoc-mobile/stream?id=09024abd922725c5&amp;inline=true" TargetMode="External"/><Relationship Id="rId155" Type="http://schemas.openxmlformats.org/officeDocument/2006/relationships/hyperlink" Target="https://sgdoc.codelco.cl/sgdoc-mobile/stream?id=09024abd94c619a6&amp;inline=true" TargetMode="External"/><Relationship Id="rId176" Type="http://schemas.openxmlformats.org/officeDocument/2006/relationships/hyperlink" Target="https://sgdoc.codelco.cl/sgdoc-mobile/stream?id=09024abd94c6b79f&amp;inline=true" TargetMode="External"/><Relationship Id="rId197" Type="http://schemas.openxmlformats.org/officeDocument/2006/relationships/hyperlink" Target="https://sgdoc.codelco.cl/sgdoc-mobile/stream?id=09024abd925458f7&amp;inline=true" TargetMode="External"/><Relationship Id="rId201" Type="http://schemas.openxmlformats.org/officeDocument/2006/relationships/hyperlink" Target="https://sgdoc.codelco.cl/sgdoc-mobile/stream?id=09024abd941bf73a&amp;inline=true" TargetMode="External"/><Relationship Id="rId222" Type="http://schemas.openxmlformats.org/officeDocument/2006/relationships/hyperlink" Target="https://sgdoc.codelco.cl/sgdoc-mobile/stream?id=09024abd92e26103&amp;inline=true" TargetMode="External"/><Relationship Id="rId243" Type="http://schemas.openxmlformats.org/officeDocument/2006/relationships/hyperlink" Target="https://sgdoc.codelco.cl/sgdoc-mobile/stream?id=09024abd92dd85db&amp;inline=true" TargetMode="External"/><Relationship Id="rId264" Type="http://schemas.openxmlformats.org/officeDocument/2006/relationships/hyperlink" Target="https://sgdoc.codelco.cl/sgdoc-mobile/stream?id=09024abd94b0a8b6&amp;inline=true" TargetMode="External"/><Relationship Id="rId285" Type="http://schemas.openxmlformats.org/officeDocument/2006/relationships/hyperlink" Target="https://sgdoc.codelco.cl/sgdoc-mobile/stream?id=09024abd92d3db2d&amp;inline=true" TargetMode="External"/><Relationship Id="rId17" Type="http://schemas.openxmlformats.org/officeDocument/2006/relationships/hyperlink" Target="https://sgdoc.codelco.cl/sgdoc-mobile/stream?id=09024abd92857702&amp;inline=true" TargetMode="External"/><Relationship Id="rId38" Type="http://schemas.openxmlformats.org/officeDocument/2006/relationships/hyperlink" Target="https://sgdoc.codelco.cl/sgdoc-mobile/stream?id=09024abd94ad0835&amp;inline=true" TargetMode="External"/><Relationship Id="rId59" Type="http://schemas.openxmlformats.org/officeDocument/2006/relationships/hyperlink" Target="https://sgdoc.codelco.cl/sgdoc-mobile/stream?id=09024abd9390e19a&amp;inline=true" TargetMode="External"/><Relationship Id="rId103" Type="http://schemas.openxmlformats.org/officeDocument/2006/relationships/hyperlink" Target="https://sgdoc.codelco.cl/sgdoc-mobile/stream?id=09024abd94ba3ee6&amp;inline=true" TargetMode="External"/><Relationship Id="rId124" Type="http://schemas.openxmlformats.org/officeDocument/2006/relationships/hyperlink" Target="https://sgdoc.codelco.cl/sgdoc-mobile/stream?id=09024abd93ccb3e7&amp;inline=true" TargetMode="External"/><Relationship Id="rId310" Type="http://schemas.openxmlformats.org/officeDocument/2006/relationships/hyperlink" Target="https://sgdoc.codelco.cl/sgdoc-mobile/stream?id=09024abd99c8a8a7&amp;inline=true" TargetMode="External"/><Relationship Id="rId70" Type="http://schemas.openxmlformats.org/officeDocument/2006/relationships/hyperlink" Target="https://sgdoc.codelco.cl/sgdoc-mobile/stream?id=09024abd946b21fd&amp;inline=true" TargetMode="External"/><Relationship Id="rId91" Type="http://schemas.openxmlformats.org/officeDocument/2006/relationships/hyperlink" Target="https://sgdoc.codelco.cl/sgdoc-mobile/stream?id=09024abd95043acc&amp;inline=true" TargetMode="External"/><Relationship Id="rId145" Type="http://schemas.openxmlformats.org/officeDocument/2006/relationships/hyperlink" Target="https://sgdoc.codelco.cl/sgdoc-mobile/stream?id=09024abd946acd59&amp;inline=true" TargetMode="External"/><Relationship Id="rId166" Type="http://schemas.openxmlformats.org/officeDocument/2006/relationships/hyperlink" Target="https://sgdoc.codelco.cl/sgdoc-mobile/stream?id=09024abd96799b63&amp;inline=true" TargetMode="External"/><Relationship Id="rId187" Type="http://schemas.openxmlformats.org/officeDocument/2006/relationships/hyperlink" Target="https://sgdoc.codelco.cl/sgdoc-mobile/stream?id=09024abd94f8d2f4&amp;inline=true" TargetMode="External"/><Relationship Id="rId1" Type="http://schemas.openxmlformats.org/officeDocument/2006/relationships/hyperlink" Target="https://sgdoc.codelco.cl/sgdoc-mobile/stream?id=09024abd9509f892&amp;inline=true" TargetMode="External"/><Relationship Id="rId212" Type="http://schemas.openxmlformats.org/officeDocument/2006/relationships/hyperlink" Target="https://sgdoc.codelco.cl/sgdoc-mobile/stream?id=09024abd9275630b&amp;inline=true" TargetMode="External"/><Relationship Id="rId233" Type="http://schemas.openxmlformats.org/officeDocument/2006/relationships/hyperlink" Target="https://sgdoc.codelco.cl/sgdoc-mobile/stream?id=09024abd9401ec13&amp;inline=true" TargetMode="External"/><Relationship Id="rId254" Type="http://schemas.openxmlformats.org/officeDocument/2006/relationships/hyperlink" Target="https://sgdoc.codelco.cl/sgdoc-mobile/stream?id=09024abd92cf8dbc&amp;inline=true" TargetMode="External"/><Relationship Id="rId28" Type="http://schemas.openxmlformats.org/officeDocument/2006/relationships/hyperlink" Target="https://sgdoc.codelco.cl/sgdoc-mobile/stream?id=09024abd94f87ec2&amp;inline=true" TargetMode="External"/><Relationship Id="rId49" Type="http://schemas.openxmlformats.org/officeDocument/2006/relationships/hyperlink" Target="https://sgdoc.codelco.cl/sgdoc-mobile/stream?id=09024abd921da077&amp;inline=true" TargetMode="External"/><Relationship Id="rId114" Type="http://schemas.openxmlformats.org/officeDocument/2006/relationships/hyperlink" Target="https://sgdoc.codelco.cl/sgdoc-mobile/stream?id=09024abd93f52ad5&amp;inline=true" TargetMode="External"/><Relationship Id="rId275" Type="http://schemas.openxmlformats.org/officeDocument/2006/relationships/hyperlink" Target="https://sgdoc.codelco.cl/sgdoc-mobile/stream?id=09024abd92d3ec62&amp;inline=true" TargetMode="External"/><Relationship Id="rId296" Type="http://schemas.openxmlformats.org/officeDocument/2006/relationships/hyperlink" Target="https://sgdoc.codelco.cl/sgdoc-mobile/stream?id=09024abd920c5796&amp;inline=true" TargetMode="External"/><Relationship Id="rId300" Type="http://schemas.openxmlformats.org/officeDocument/2006/relationships/hyperlink" Target="https://sgdoc.codelco.cl/sgdoc-mobile/stream?id=09024abd920c5847&amp;inline=true" TargetMode="External"/><Relationship Id="rId60" Type="http://schemas.openxmlformats.org/officeDocument/2006/relationships/hyperlink" Target="https://sgdoc.codelco.cl/sgdoc-mobile/stream?id=09024abd9390e1b2&amp;inline=true" TargetMode="External"/><Relationship Id="rId81" Type="http://schemas.openxmlformats.org/officeDocument/2006/relationships/hyperlink" Target="https://sgdoc.codelco.cl/sgdoc-mobile/stream?id=09024abd92048eca&amp;inline=true" TargetMode="External"/><Relationship Id="rId135" Type="http://schemas.openxmlformats.org/officeDocument/2006/relationships/hyperlink" Target="https://sgdoc.codelco.cl/sgdoc-mobile/stream?id=09024abd94c60f0e&amp;inline=true" TargetMode="External"/><Relationship Id="rId156" Type="http://schemas.openxmlformats.org/officeDocument/2006/relationships/hyperlink" Target="https://sgdoc.codelco.cl/sgdoc-mobile/stream?id=09024abd92d64a3f&amp;inline=true" TargetMode="External"/><Relationship Id="rId177" Type="http://schemas.openxmlformats.org/officeDocument/2006/relationships/hyperlink" Target="https://sgdoc.codelco.cl/sgdoc-mobile/stream?id=09024abd94c6bf4b&amp;inline=true" TargetMode="External"/><Relationship Id="rId198" Type="http://schemas.openxmlformats.org/officeDocument/2006/relationships/hyperlink" Target="https://sgdoc.codelco.cl/sgdoc-mobile/stream?id=09024abd92a69a69&amp;inline=true" TargetMode="External"/><Relationship Id="rId321" Type="http://schemas.openxmlformats.org/officeDocument/2006/relationships/hyperlink" Target="https://sgdoc.codelco.cl/sgdoc-mobile/stream?id=09024abd996b4c9f&amp;inline=true" TargetMode="External"/><Relationship Id="rId202" Type="http://schemas.openxmlformats.org/officeDocument/2006/relationships/hyperlink" Target="https://sgdoc.codelco.cl/sgdoc-mobile/stream?id=09024abd91f35325&amp;inline=true" TargetMode="External"/><Relationship Id="rId223" Type="http://schemas.openxmlformats.org/officeDocument/2006/relationships/hyperlink" Target="https://sgdoc.codelco.cl/sgdoc-mobile/stream?id=09024abd93d9ede1&amp;inline=true" TargetMode="External"/><Relationship Id="rId244" Type="http://schemas.openxmlformats.org/officeDocument/2006/relationships/hyperlink" Target="https://sgdoc.codelco.cl/sgdoc-mobile/stream?id=09024abd92dd8737&amp;inline=true" TargetMode="External"/><Relationship Id="rId18" Type="http://schemas.openxmlformats.org/officeDocument/2006/relationships/hyperlink" Target="https://sgdoc.codelco.cl/sgdoc-mobile/stream?id=09024abd9446f469&amp;inline=true" TargetMode="External"/><Relationship Id="rId39" Type="http://schemas.openxmlformats.org/officeDocument/2006/relationships/hyperlink" Target="https://sgdoc.codelco.cl/sgdoc-mobile/stream?id=09024abd94e195ae&amp;inline=true" TargetMode="External"/><Relationship Id="rId265" Type="http://schemas.openxmlformats.org/officeDocument/2006/relationships/hyperlink" Target="https://sgdoc.codelco.cl/sgdoc-mobile/stream?id=09024abd93da0217&amp;inline=true" TargetMode="External"/><Relationship Id="rId286" Type="http://schemas.openxmlformats.org/officeDocument/2006/relationships/hyperlink" Target="https://sgdoc.codelco.cl/sgdoc-mobile/stream?id=09024abd93341c64&amp;inline=true" TargetMode="External"/><Relationship Id="rId50" Type="http://schemas.openxmlformats.org/officeDocument/2006/relationships/hyperlink" Target="https://sgdoc.codelco.cl/sgdoc-mobile/stream?id=09024abd93d9f4ac&amp;inline=true" TargetMode="External"/><Relationship Id="rId104" Type="http://schemas.openxmlformats.org/officeDocument/2006/relationships/hyperlink" Target="https://sgdoc.codelco.cl/sgdoc-mobile/stream?id=09024abd946b7246&amp;inline=true" TargetMode="External"/><Relationship Id="rId125" Type="http://schemas.openxmlformats.org/officeDocument/2006/relationships/hyperlink" Target="https://sgdoc.codelco.cl/sgdoc-mobile/stream?id=09024abd93ccb517&amp;inline=true" TargetMode="External"/><Relationship Id="rId146" Type="http://schemas.openxmlformats.org/officeDocument/2006/relationships/hyperlink" Target="https://sgdoc.codelco.cl/sgdoc-mobile/stream?id=09024abd946acfc9&amp;inline=true" TargetMode="External"/><Relationship Id="rId167" Type="http://schemas.openxmlformats.org/officeDocument/2006/relationships/hyperlink" Target="https://sgdoc.codelco.cl/sgdoc-mobile/stream?id=09024abd93447aa9&amp;inline=true" TargetMode="External"/><Relationship Id="rId188" Type="http://schemas.openxmlformats.org/officeDocument/2006/relationships/hyperlink" Target="https://sgdoc.codelco.cl/sgdoc-mobile/stream?id=09024abd935bbd90&amp;inline=true" TargetMode="External"/><Relationship Id="rId311" Type="http://schemas.openxmlformats.org/officeDocument/2006/relationships/hyperlink" Target="https://sgdoc.codelco.cl/sgdoc-mobile/stream?id=09024abd99c89bb5&amp;inline=true" TargetMode="External"/><Relationship Id="rId71" Type="http://schemas.openxmlformats.org/officeDocument/2006/relationships/hyperlink" Target="https://sgdoc.codelco.cl/sgdoc-mobile/stream?id=09024abd946b255b&amp;inline=true" TargetMode="External"/><Relationship Id="rId92" Type="http://schemas.openxmlformats.org/officeDocument/2006/relationships/hyperlink" Target="https://sgdoc.codelco.cl/sgdoc-mobile/stream?id=09024abd9447065b&amp;inline=true" TargetMode="External"/><Relationship Id="rId213" Type="http://schemas.openxmlformats.org/officeDocument/2006/relationships/hyperlink" Target="https://sgdoc.codelco.cl/sgdoc-mobile/stream?id=09024abd93ae63fd&amp;inline=true" TargetMode="External"/><Relationship Id="rId234" Type="http://schemas.openxmlformats.org/officeDocument/2006/relationships/hyperlink" Target="https://sgdoc.codelco.cl/sgdoc-mobile/stream?id=09024abd93ae6a15&amp;inline=true" TargetMode="External"/><Relationship Id="rId2" Type="http://schemas.openxmlformats.org/officeDocument/2006/relationships/hyperlink" Target="https://sgdoc.codelco.cl/sgdoc-mobile/stream?id=09024abd94f87587&amp;inline=true" TargetMode="External"/><Relationship Id="rId29" Type="http://schemas.openxmlformats.org/officeDocument/2006/relationships/hyperlink" Target="https://sgdoc.codelco.cl/sgdoc-mobile/stream?id=09024abd94fbdfc0&amp;inline=true" TargetMode="External"/><Relationship Id="rId255" Type="http://schemas.openxmlformats.org/officeDocument/2006/relationships/hyperlink" Target="https://sgdoc.codelco.cl/sgdoc-mobile/stream?id=09024abd9304a523&amp;inline=true" TargetMode="External"/><Relationship Id="rId276" Type="http://schemas.openxmlformats.org/officeDocument/2006/relationships/hyperlink" Target="https://sgdoc.codelco.cl/sgdoc-mobile/stream?id=09024abd92d3ed2b&amp;inline=true" TargetMode="External"/><Relationship Id="rId297" Type="http://schemas.openxmlformats.org/officeDocument/2006/relationships/hyperlink" Target="https://sgdoc.codelco.cl/sgdoc-mobile/stream?id=09024abd920c57bb&amp;inline=true" TargetMode="External"/><Relationship Id="rId40" Type="http://schemas.openxmlformats.org/officeDocument/2006/relationships/hyperlink" Target="https://sgdoc.codelco.cl/sgdoc-mobile/stream?id=09024abd951d4185&amp;inline=true" TargetMode="External"/><Relationship Id="rId115" Type="http://schemas.openxmlformats.org/officeDocument/2006/relationships/hyperlink" Target="https://sgdoc.codelco.cl/sgdoc-mobile/stream?id=09024abd932ed745&amp;inline=true" TargetMode="External"/><Relationship Id="rId136" Type="http://schemas.openxmlformats.org/officeDocument/2006/relationships/hyperlink" Target="https://sgdoc.codelco.cl/sgdoc-mobile/stream?id=09024abd946aaf1a&amp;inline=true" TargetMode="External"/><Relationship Id="rId157" Type="http://schemas.openxmlformats.org/officeDocument/2006/relationships/hyperlink" Target="https://sgdoc.codelco.cl/sgdoc-mobile/stream?id=09024abd92d64b40&amp;inline=true" TargetMode="External"/><Relationship Id="rId178" Type="http://schemas.openxmlformats.org/officeDocument/2006/relationships/hyperlink" Target="https://sgdoc.codelco.cl/sgdoc-mobile/stream?id=09024abd94c6c49a&amp;inline=true" TargetMode="External"/><Relationship Id="rId301" Type="http://schemas.openxmlformats.org/officeDocument/2006/relationships/hyperlink" Target="https://sgdoc.codelco.cl/sgdoc-mobile/stream?id=09024abd920c58fe&amp;inline=true" TargetMode="External"/><Relationship Id="rId322" Type="http://schemas.openxmlformats.org/officeDocument/2006/relationships/hyperlink" Target="https://sgdoc.codelco.cl/sgdoc-mobile/stream?id=09024abd99c186a9&amp;inline=true" TargetMode="External"/><Relationship Id="rId61" Type="http://schemas.openxmlformats.org/officeDocument/2006/relationships/hyperlink" Target="https://sgdoc.codelco.cl/sgdoc-mobile/stream?id=09024abd9390e224&amp;inline=true" TargetMode="External"/><Relationship Id="rId82" Type="http://schemas.openxmlformats.org/officeDocument/2006/relationships/hyperlink" Target="https://sgdoc.codelco.cl/sgdoc-mobile/stream?id=09024abd92048ffd&amp;inline=true" TargetMode="External"/><Relationship Id="rId199" Type="http://schemas.openxmlformats.org/officeDocument/2006/relationships/hyperlink" Target="https://sgdoc.codelco.cl/sgdoc-mobile/stream?id=09024abd94f8b48b&amp;inline=true" TargetMode="External"/><Relationship Id="rId203" Type="http://schemas.openxmlformats.org/officeDocument/2006/relationships/hyperlink" Target="https://sgdoc.codelco.cl/sgdoc-mobile/stream?id=09024abd92106b59&amp;inline=true" TargetMode="External"/><Relationship Id="rId19" Type="http://schemas.openxmlformats.org/officeDocument/2006/relationships/hyperlink" Target="https://sgdoc.codelco.cl/sgdoc-mobile/stream?id=09024abd94470172&amp;inline=true" TargetMode="External"/><Relationship Id="rId224" Type="http://schemas.openxmlformats.org/officeDocument/2006/relationships/hyperlink" Target="https://sgdoc.codelco.cl/sgdoc-mobile/stream?id=09024abd927569f9&amp;inline=true" TargetMode="External"/><Relationship Id="rId245" Type="http://schemas.openxmlformats.org/officeDocument/2006/relationships/hyperlink" Target="https://sgdoc.codelco.cl/sgdoc-mobile/stream?id=09024abd947ea7a5&amp;inline=true" TargetMode="External"/><Relationship Id="rId266" Type="http://schemas.openxmlformats.org/officeDocument/2006/relationships/hyperlink" Target="https://sgdoc.codelco.cl/sgdoc-mobile/stream?id=09024abd947ed04a&amp;inline=true" TargetMode="External"/><Relationship Id="rId287" Type="http://schemas.openxmlformats.org/officeDocument/2006/relationships/hyperlink" Target="https://sgdoc.codelco.cl/sgdoc-mobile/stream?id=09024abd92f44e19&amp;inline=true" TargetMode="External"/><Relationship Id="rId30" Type="http://schemas.openxmlformats.org/officeDocument/2006/relationships/hyperlink" Target="https://sgdoc.codelco.cl/sgdoc-mobile/stream?id=09024abd94fbe2a7&amp;inline=true" TargetMode="External"/><Relationship Id="rId105" Type="http://schemas.openxmlformats.org/officeDocument/2006/relationships/hyperlink" Target="https://sgdoc.codelco.cl/sgdoc-mobile/stream?id=09024abd946b74be&amp;inline=true" TargetMode="External"/><Relationship Id="rId126" Type="http://schemas.openxmlformats.org/officeDocument/2006/relationships/hyperlink" Target="https://sgdoc.codelco.cl/sgdoc-mobile/stream?id=09024abd93ccb78e&amp;inline=true" TargetMode="External"/><Relationship Id="rId147" Type="http://schemas.openxmlformats.org/officeDocument/2006/relationships/hyperlink" Target="https://sgdoc.codelco.cl/sgdoc-mobile/stream?id=09024abd946ad1fa&amp;inline=true" TargetMode="External"/><Relationship Id="rId168" Type="http://schemas.openxmlformats.org/officeDocument/2006/relationships/hyperlink" Target="https://sgdoc.codelco.cl/sgdoc-mobile/stream?id=09024abd93447ab6&amp;inline=true" TargetMode="External"/><Relationship Id="rId312" Type="http://schemas.openxmlformats.org/officeDocument/2006/relationships/hyperlink" Target="https://sgdoc.codelco.cl/sgdoc-mobile/stream?id=09024abd99cdfcef&amp;inline=true" TargetMode="External"/><Relationship Id="rId51" Type="http://schemas.openxmlformats.org/officeDocument/2006/relationships/hyperlink" Target="https://sgdoc.codelco.cl/sgdoc-mobile/stream?id=09024abd93d9f56d&amp;inline=true" TargetMode="External"/><Relationship Id="rId72" Type="http://schemas.openxmlformats.org/officeDocument/2006/relationships/hyperlink" Target="https://sgdoc.codelco.cl/sgdoc-mobile/stream?id=09024abd93447a87&amp;inline=true" TargetMode="External"/><Relationship Id="rId93" Type="http://schemas.openxmlformats.org/officeDocument/2006/relationships/hyperlink" Target="https://sgdoc.codelco.cl/sgdoc-mobile/stream?id=09024abd946b12d8&amp;inline=true" TargetMode="External"/><Relationship Id="rId189" Type="http://schemas.openxmlformats.org/officeDocument/2006/relationships/hyperlink" Target="https://sgdoc.codelco.cl/sgdoc-mobile/stream?id=09024abd92d99f60&amp;inline=true" TargetMode="External"/><Relationship Id="rId3" Type="http://schemas.openxmlformats.org/officeDocument/2006/relationships/hyperlink" Target="https://sgdoc.codelco.cl/sgdoc-mobile/stream?id=09024abd94f87a4e&amp;inline=true" TargetMode="External"/><Relationship Id="rId214" Type="http://schemas.openxmlformats.org/officeDocument/2006/relationships/hyperlink" Target="https://sgdoc.codelco.cl/sgdoc-mobile/stream?id=09024abd93ae647e&amp;inline=true" TargetMode="External"/><Relationship Id="rId235" Type="http://schemas.openxmlformats.org/officeDocument/2006/relationships/hyperlink" Target="https://sgdoc.codelco.cl/sgdoc-mobile/stream?id=09024abd931c737d&amp;inline=true" TargetMode="External"/><Relationship Id="rId256" Type="http://schemas.openxmlformats.org/officeDocument/2006/relationships/hyperlink" Target="https://sgdoc.codelco.cl/sgdoc-mobile/stream?id=09024abd947eaaae&amp;inline=true" TargetMode="External"/><Relationship Id="rId277" Type="http://schemas.openxmlformats.org/officeDocument/2006/relationships/hyperlink" Target="https://sgdoc.codelco.cl/sgdoc-mobile/stream?id=09024abd93ae6cf7&amp;inline=true" TargetMode="External"/><Relationship Id="rId298" Type="http://schemas.openxmlformats.org/officeDocument/2006/relationships/hyperlink" Target="https://sgdoc.codelco.cl/sgdoc-mobile/stream?id=09024abd920c57e2&amp;inline=true" TargetMode="External"/><Relationship Id="rId116" Type="http://schemas.openxmlformats.org/officeDocument/2006/relationships/hyperlink" Target="https://sgdoc.codelco.cl/sgdoc-mobile/stream?id=09024abd93cc72d3&amp;inline=true" TargetMode="External"/><Relationship Id="rId137" Type="http://schemas.openxmlformats.org/officeDocument/2006/relationships/hyperlink" Target="https://sgdoc.codelco.cl/sgdoc-mobile/stream?id=09024abd94c610c0&amp;inline=true" TargetMode="External"/><Relationship Id="rId158" Type="http://schemas.openxmlformats.org/officeDocument/2006/relationships/hyperlink" Target="https://sgdoc.codelco.cl/sgdoc-mobile/stream?id=09024abd92a6c495&amp;inline=true" TargetMode="External"/><Relationship Id="rId302" Type="http://schemas.openxmlformats.org/officeDocument/2006/relationships/hyperlink" Target="https://sgdoc.codelco.cl/sgdoc-mobile/stream?id=09024abd943ae3c1&amp;inline=true" TargetMode="External"/><Relationship Id="rId323" Type="http://schemas.openxmlformats.org/officeDocument/2006/relationships/hyperlink" Target="https://sgdoc.codelco.cl/sgdoc-mobile/stream?id=09024abd99ce4c52&amp;inline=true" TargetMode="External"/><Relationship Id="rId20" Type="http://schemas.openxmlformats.org/officeDocument/2006/relationships/hyperlink" Target="https://sgdoc.codelco.cl/sgdoc-mobile/stream?id=09024abd944702c3&amp;inline=true" TargetMode="External"/><Relationship Id="rId41" Type="http://schemas.openxmlformats.org/officeDocument/2006/relationships/hyperlink" Target="https://sgdoc.codelco.cl/sgdoc-mobile/stream?id=09024abd94b1b27d&amp;inline=true" TargetMode="External"/><Relationship Id="rId62" Type="http://schemas.openxmlformats.org/officeDocument/2006/relationships/hyperlink" Target="https://sgdoc.codelco.cl/sgdoc-mobile/stream?id=09024abd9390e243&amp;inline=true" TargetMode="External"/><Relationship Id="rId83" Type="http://schemas.openxmlformats.org/officeDocument/2006/relationships/hyperlink" Target="https://sgdoc.codelco.cl/sgdoc-mobile/stream?id=09024abd93f52a1b&amp;inline=true" TargetMode="External"/><Relationship Id="rId179" Type="http://schemas.openxmlformats.org/officeDocument/2006/relationships/hyperlink" Target="https://sgdoc.codelco.cl/sgdoc-mobile/stream?id=09024abd94c6c594&amp;inline=true" TargetMode="External"/><Relationship Id="rId190" Type="http://schemas.openxmlformats.org/officeDocument/2006/relationships/hyperlink" Target="https://sgdoc.codelco.cl/sgdoc-mobile/stream?id=09024abd93db22d2&amp;inline=true" TargetMode="External"/><Relationship Id="rId204" Type="http://schemas.openxmlformats.org/officeDocument/2006/relationships/hyperlink" Target="https://sgdoc.codelco.cl/sgdoc-mobile/stream?id=09024abd920fb898&amp;inline=true" TargetMode="External"/><Relationship Id="rId225" Type="http://schemas.openxmlformats.org/officeDocument/2006/relationships/hyperlink" Target="https://sgdoc.codelco.cl/sgdoc-mobile/stream?id=09024abd93eb0f4a&amp;inline=true" TargetMode="External"/><Relationship Id="rId246" Type="http://schemas.openxmlformats.org/officeDocument/2006/relationships/hyperlink" Target="https://sgdoc.codelco.cl/sgdoc-mobile/stream?id=09024abd967990bf&amp;inline=true" TargetMode="External"/><Relationship Id="rId267" Type="http://schemas.openxmlformats.org/officeDocument/2006/relationships/hyperlink" Target="https://sgdoc.codelco.cl/sgdoc-mobile/stream?id=09024abd932f9697&amp;inline=true" TargetMode="External"/><Relationship Id="rId288" Type="http://schemas.openxmlformats.org/officeDocument/2006/relationships/hyperlink" Target="https://sgdoc.codelco.cl/sgdoc-mobile/stream?id=09024abd93341dc1&amp;inline=true" TargetMode="External"/><Relationship Id="rId106" Type="http://schemas.openxmlformats.org/officeDocument/2006/relationships/hyperlink" Target="https://sgdoc.codelco.cl/sgdoc-mobile/stream?id=09024abd946b79e1&amp;inline=true" TargetMode="External"/><Relationship Id="rId127" Type="http://schemas.openxmlformats.org/officeDocument/2006/relationships/hyperlink" Target="https://sgdoc.codelco.cl/sgdoc-mobile/stream?id=09024abd944710a7&amp;inline=true" TargetMode="External"/><Relationship Id="rId313" Type="http://schemas.openxmlformats.org/officeDocument/2006/relationships/hyperlink" Target="https://sgdoc.codelco.cl/sgdoc-mobile/stream?id=09024abd99ce0021&amp;inline=true" TargetMode="External"/><Relationship Id="rId10" Type="http://schemas.openxmlformats.org/officeDocument/2006/relationships/hyperlink" Target="https://sgdoc.codelco.cl/sgdoc-mobile/stream?id=09024abd92a6bbac&amp;inline=true" TargetMode="External"/><Relationship Id="rId31" Type="http://schemas.openxmlformats.org/officeDocument/2006/relationships/hyperlink" Target="https://sgdoc.codelco.cl/sgdoc-mobile/stream?id=09024abd95125b51&amp;inline=true" TargetMode="External"/><Relationship Id="rId52" Type="http://schemas.openxmlformats.org/officeDocument/2006/relationships/hyperlink" Target="https://sgdoc.codelco.cl/sgdoc-mobile/stream?id=09024abd93d9fe2b&amp;inline=true" TargetMode="External"/><Relationship Id="rId73" Type="http://schemas.openxmlformats.org/officeDocument/2006/relationships/hyperlink" Target="https://sgdoc.codelco.cl/sgdoc-mobile/stream?id=09024abd93447a8b&amp;inline=true" TargetMode="External"/><Relationship Id="rId94" Type="http://schemas.openxmlformats.org/officeDocument/2006/relationships/hyperlink" Target="https://sgdoc.codelco.cl/sgdoc-mobile/stream?id=09024abd946b272b&amp;inline=true" TargetMode="External"/><Relationship Id="rId148" Type="http://schemas.openxmlformats.org/officeDocument/2006/relationships/hyperlink" Target="https://sgdoc.codelco.cl/sgdoc-mobile/stream?id=09024abd946ad969&amp;inline=true" TargetMode="External"/><Relationship Id="rId169" Type="http://schemas.openxmlformats.org/officeDocument/2006/relationships/hyperlink" Target="https://sgdoc.codelco.cl/sgdoc-mobile/stream?id=09024abd93447ab9&amp;inline=true" TargetMode="External"/><Relationship Id="rId4" Type="http://schemas.openxmlformats.org/officeDocument/2006/relationships/hyperlink" Target="https://sgdoc.codelco.cl/sgdoc-mobile/stream?id=09024abd93d51892&amp;inline=true" TargetMode="External"/><Relationship Id="rId180" Type="http://schemas.openxmlformats.org/officeDocument/2006/relationships/hyperlink" Target="https://sgdoc.codelco.cl/sgdoc-mobile/stream?id=09024abd94c6cd11&amp;inline=true" TargetMode="External"/><Relationship Id="rId215" Type="http://schemas.openxmlformats.org/officeDocument/2006/relationships/hyperlink" Target="https://sgdoc.codelco.cl/sgdoc-mobile/stream?id=09024abd9312d9d6&amp;inline=true" TargetMode="External"/><Relationship Id="rId236" Type="http://schemas.openxmlformats.org/officeDocument/2006/relationships/hyperlink" Target="https://sgdoc.codelco.cl/sgdoc-mobile/stream?id=09024abd9336bd04&amp;inline=true" TargetMode="External"/><Relationship Id="rId257" Type="http://schemas.openxmlformats.org/officeDocument/2006/relationships/hyperlink" Target="https://sgdoc.codelco.cl/sgdoc-mobile/stream?id=09024abd947ec722&amp;inline=true" TargetMode="External"/><Relationship Id="rId278" Type="http://schemas.openxmlformats.org/officeDocument/2006/relationships/hyperlink" Target="https://sgdoc.codelco.cl/sgdoc-mobile/stream?id=09024abd9312d8d4&amp;inline=true" TargetMode="External"/><Relationship Id="rId303" Type="http://schemas.openxmlformats.org/officeDocument/2006/relationships/hyperlink" Target="https://sgdoc.codelco.cl/sgdoc-mobile/stream?id=09024abd94f8ce90&amp;inline=true" TargetMode="External"/><Relationship Id="rId42" Type="http://schemas.openxmlformats.org/officeDocument/2006/relationships/hyperlink" Target="https://sgdoc.codelco.cl/sgdoc-mobile/stream?id=09024abd9397d6d2&amp;inline=true" TargetMode="External"/><Relationship Id="rId84" Type="http://schemas.openxmlformats.org/officeDocument/2006/relationships/hyperlink" Target="https://sgdoc.codelco.cl/sgdoc-mobile/stream?id=09024abd94fbe72f&amp;inline=true" TargetMode="External"/><Relationship Id="rId138" Type="http://schemas.openxmlformats.org/officeDocument/2006/relationships/hyperlink" Target="https://sgdoc.codelco.cl/sgdoc-mobile/stream?id=09024abd946ab365&amp;inline=true" TargetMode="External"/><Relationship Id="rId191" Type="http://schemas.openxmlformats.org/officeDocument/2006/relationships/hyperlink" Target="https://sgdoc.codelco.cl/sgdoc-mobile/stream?id=09024abd94b02a45&amp;inline=true" TargetMode="External"/><Relationship Id="rId205" Type="http://schemas.openxmlformats.org/officeDocument/2006/relationships/hyperlink" Target="https://sgdoc.codelco.cl/sgdoc-mobile/stream?id=09024abd928e0fe7&amp;inline=true" TargetMode="External"/><Relationship Id="rId247" Type="http://schemas.openxmlformats.org/officeDocument/2006/relationships/hyperlink" Target="https://sgdoc.codelco.cl/sgdoc-mobile/stream?id=09024abd9390e34c&amp;inline=true" TargetMode="External"/><Relationship Id="rId107" Type="http://schemas.openxmlformats.org/officeDocument/2006/relationships/hyperlink" Target="https://sgdoc.codelco.cl/sgdoc-mobile/stream?id=09024abd946b7ba2&amp;inline=true" TargetMode="External"/><Relationship Id="rId289" Type="http://schemas.openxmlformats.org/officeDocument/2006/relationships/hyperlink" Target="https://sgdoc.codelco.cl/sgdoc-mobile/stream?id=09024abd92cf97bc&amp;inline=true" TargetMode="External"/><Relationship Id="rId11" Type="http://schemas.openxmlformats.org/officeDocument/2006/relationships/hyperlink" Target="https://sgdoc.codelco.cl/sgdoc-mobile/stream?id=09024abd92d64576&amp;inline=true" TargetMode="External"/><Relationship Id="rId53" Type="http://schemas.openxmlformats.org/officeDocument/2006/relationships/hyperlink" Target="https://sgdoc.codelco.cl/sgdoc-mobile/stream?id=09024abd93d9fcfb&amp;inline=true" TargetMode="External"/><Relationship Id="rId149" Type="http://schemas.openxmlformats.org/officeDocument/2006/relationships/hyperlink" Target="https://sgdoc.codelco.cl/sgdoc-mobile/stream?id=09024abd946adbc9&amp;inline=true" TargetMode="External"/><Relationship Id="rId314" Type="http://schemas.openxmlformats.org/officeDocument/2006/relationships/hyperlink" Target="https://sgdoc.codelco.cl/sgdoc-mobile/stream?id=09024abd9a6cd543&amp;inline=true" TargetMode="External"/><Relationship Id="rId95" Type="http://schemas.openxmlformats.org/officeDocument/2006/relationships/hyperlink" Target="https://sgdoc.codelco.cl/sgdoc-mobile/stream?id=09024abd941c0670&amp;inline=true" TargetMode="External"/><Relationship Id="rId160" Type="http://schemas.openxmlformats.org/officeDocument/2006/relationships/hyperlink" Target="https://sgdoc.codelco.cl/sgdoc-mobile/stream?id=09024abd931c42fe&amp;inline=true" TargetMode="External"/><Relationship Id="rId216" Type="http://schemas.openxmlformats.org/officeDocument/2006/relationships/hyperlink" Target="https://sgdoc.codelco.cl/sgdoc-mobile/stream?id=09024abd92757096&amp;inline=true" TargetMode="External"/><Relationship Id="rId258" Type="http://schemas.openxmlformats.org/officeDocument/2006/relationships/hyperlink" Target="https://sgdoc.codelco.cl/sgdoc-mobile/stream?id=09024abd93c7c403&amp;inline=true" TargetMode="External"/><Relationship Id="rId22" Type="http://schemas.openxmlformats.org/officeDocument/2006/relationships/hyperlink" Target="https://sgdoc.codelco.cl/sgdoc-mobile/stream?id=09024abd93c7cd31&amp;inline=true" TargetMode="External"/><Relationship Id="rId64" Type="http://schemas.openxmlformats.org/officeDocument/2006/relationships/hyperlink" Target="https://sgdoc.codelco.cl/sgdoc-mobile/stream?id=09024abd92d9987d&amp;inline=true" TargetMode="External"/><Relationship Id="rId118" Type="http://schemas.openxmlformats.org/officeDocument/2006/relationships/hyperlink" Target="https://sgdoc.codelco.cl/sgdoc-mobile/stream?id=09024abd93cc75a5&amp;inline=true" TargetMode="External"/><Relationship Id="rId171" Type="http://schemas.openxmlformats.org/officeDocument/2006/relationships/hyperlink" Target="https://sgdoc.codelco.cl/sgdoc-mobile/stream?id=09024abd93447ac3&amp;inline=true" TargetMode="External"/><Relationship Id="rId227" Type="http://schemas.openxmlformats.org/officeDocument/2006/relationships/hyperlink" Target="https://sgdoc.codelco.cl/sgdoc-mobile/stream?id=09024abd93eea861&amp;inline=true" TargetMode="External"/><Relationship Id="rId269" Type="http://schemas.openxmlformats.org/officeDocument/2006/relationships/hyperlink" Target="https://sgdoc.codelco.cl/sgdoc-mobile/stream?id=09024abd93d378c9&amp;inline=true" TargetMode="External"/><Relationship Id="rId33" Type="http://schemas.openxmlformats.org/officeDocument/2006/relationships/hyperlink" Target="https://sgdoc.codelco.cl/sgdoc-mobile/stream?id=09024abd95125c43&amp;inline=true" TargetMode="External"/><Relationship Id="rId129" Type="http://schemas.openxmlformats.org/officeDocument/2006/relationships/hyperlink" Target="https://sgdoc.codelco.cl/sgdoc-mobile/stream?id=09024abd94471377&amp;inline=true" TargetMode="External"/><Relationship Id="rId280" Type="http://schemas.openxmlformats.org/officeDocument/2006/relationships/hyperlink" Target="https://sgdoc.codelco.cl/sgdoc-mobile/stream?id=09024abd935fbb53&amp;inline=true" TargetMode="External"/><Relationship Id="rId75" Type="http://schemas.openxmlformats.org/officeDocument/2006/relationships/hyperlink" Target="https://sgdoc.codelco.cl/sgdoc-mobile/stream?id=09024abd93447a9d&amp;inline=true" TargetMode="External"/><Relationship Id="rId140" Type="http://schemas.openxmlformats.org/officeDocument/2006/relationships/hyperlink" Target="https://sgdoc.codelco.cl/sgdoc-mobile/stream?id=09024abd946aa6cb&amp;inline=true" TargetMode="External"/><Relationship Id="rId182" Type="http://schemas.openxmlformats.org/officeDocument/2006/relationships/hyperlink" Target="https://sgdoc.codelco.cl/sgdoc-mobile/stream?id=09024abd94c6d243&amp;inline=true" TargetMode="External"/><Relationship Id="rId6" Type="http://schemas.openxmlformats.org/officeDocument/2006/relationships/hyperlink" Target="https://sgdoc.codelco.cl/sgdoc-mobile/stream?id=09024abd93d51920&amp;inline=true" TargetMode="External"/><Relationship Id="rId238" Type="http://schemas.openxmlformats.org/officeDocument/2006/relationships/hyperlink" Target="https://sgdoc.codelco.cl/sgdoc-mobile/stream?id=09024abd92a2147a&amp;inline=true" TargetMode="External"/><Relationship Id="rId291" Type="http://schemas.openxmlformats.org/officeDocument/2006/relationships/hyperlink" Target="https://sgdoc.codelco.cl/sgdoc-mobile/stream?id=09024abd93c7b66d&amp;inline=true" TargetMode="External"/><Relationship Id="rId305" Type="http://schemas.openxmlformats.org/officeDocument/2006/relationships/hyperlink" Target="https://sgdoc.codelco.cl/sgdoc-mobile/stream?id=09024abd99569f98&amp;inline=true" TargetMode="External"/><Relationship Id="rId44" Type="http://schemas.openxmlformats.org/officeDocument/2006/relationships/hyperlink" Target="https://sgdoc.codelco.cl/sgdoc-mobile/stream?id=09024abd93553755&amp;inline=true" TargetMode="External"/><Relationship Id="rId86" Type="http://schemas.openxmlformats.org/officeDocument/2006/relationships/hyperlink" Target="https://sgdoc.codelco.cl/sgdoc-mobile/stream?id=09024abd94f89357&amp;inline=true" TargetMode="External"/><Relationship Id="rId151" Type="http://schemas.openxmlformats.org/officeDocument/2006/relationships/hyperlink" Target="https://sgdoc.codelco.cl/sgdoc-mobile/stream?id=09024abd947eef6a&amp;inline=true" TargetMode="External"/><Relationship Id="rId193" Type="http://schemas.openxmlformats.org/officeDocument/2006/relationships/hyperlink" Target="https://sgdoc.codelco.cl/sgdoc-mobile/stream?id=09024abd928d8a4d&amp;inline=true" TargetMode="External"/><Relationship Id="rId207" Type="http://schemas.openxmlformats.org/officeDocument/2006/relationships/hyperlink" Target="https://sgdoc.codelco.cl/sgdoc-mobile/stream?id=09024abd9559380e&amp;inline=true" TargetMode="External"/><Relationship Id="rId249" Type="http://schemas.openxmlformats.org/officeDocument/2006/relationships/hyperlink" Target="https://sgdoc.codelco.cl/sgdoc-mobile/stream?id=09024abd9336c7fc&amp;inline=true" TargetMode="External"/><Relationship Id="rId13" Type="http://schemas.openxmlformats.org/officeDocument/2006/relationships/hyperlink" Target="https://sgdoc.codelco.cl/sgdoc-mobile/stream?id=09024abd94acbd87&amp;inline=true" TargetMode="External"/><Relationship Id="rId109" Type="http://schemas.openxmlformats.org/officeDocument/2006/relationships/hyperlink" Target="https://sgdoc.codelco.cl/sgdoc-mobile/stream?id=09024abd9679994c&amp;inline=true" TargetMode="External"/><Relationship Id="rId260" Type="http://schemas.openxmlformats.org/officeDocument/2006/relationships/hyperlink" Target="https://sgdoc.codelco.cl/sgdoc-mobile/stream?id=09024abd9336be3b&amp;inline=true" TargetMode="External"/><Relationship Id="rId316" Type="http://schemas.openxmlformats.org/officeDocument/2006/relationships/hyperlink" Target="https://sgdoc.codelco.cl/sgdoc-mobile/stream?id=09024abd9a6cdb3b&amp;inline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6D42-9DC1-43BE-881C-9A0D68AB3BCA}">
  <dimension ref="A1"/>
  <sheetViews>
    <sheetView workbookViewId="0">
      <selection activeCell="B2" sqref="B2"/>
    </sheetView>
  </sheetViews>
  <sheetFormatPr defaultColWidth="11.42578125" defaultRowHeight="12.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2C90-25CD-423D-8D63-AB8ED9A062EC}">
  <dimension ref="A1:B14"/>
  <sheetViews>
    <sheetView tabSelected="1" workbookViewId="0">
      <selection activeCell="B16" sqref="B16"/>
    </sheetView>
  </sheetViews>
  <sheetFormatPr defaultColWidth="11.42578125" defaultRowHeight="12.6"/>
  <cols>
    <col min="1" max="1" width="16.85546875" bestFit="1" customWidth="1"/>
    <col min="2" max="2" width="18.28515625" bestFit="1" customWidth="1"/>
  </cols>
  <sheetData>
    <row r="1" spans="1:2">
      <c r="A1" s="51" t="s">
        <v>0</v>
      </c>
      <c r="B1" t="s">
        <v>1</v>
      </c>
    </row>
    <row r="2" spans="1:2">
      <c r="A2" s="51" t="s">
        <v>2</v>
      </c>
      <c r="B2" t="s">
        <v>3</v>
      </c>
    </row>
    <row r="4" spans="1:2">
      <c r="A4" s="51" t="s">
        <v>4</v>
      </c>
      <c r="B4" t="s">
        <v>5</v>
      </c>
    </row>
    <row r="5" spans="1:2">
      <c r="A5" s="52" t="s">
        <v>6</v>
      </c>
      <c r="B5">
        <v>1</v>
      </c>
    </row>
    <row r="6" spans="1:2">
      <c r="A6" s="52" t="s">
        <v>7</v>
      </c>
      <c r="B6">
        <v>1</v>
      </c>
    </row>
    <row r="7" spans="1:2">
      <c r="A7" s="52" t="s">
        <v>8</v>
      </c>
      <c r="B7">
        <v>4</v>
      </c>
    </row>
    <row r="8" spans="1:2">
      <c r="A8" s="52" t="s">
        <v>9</v>
      </c>
      <c r="B8">
        <v>3</v>
      </c>
    </row>
    <row r="9" spans="1:2">
      <c r="A9" s="52" t="s">
        <v>10</v>
      </c>
      <c r="B9">
        <v>20</v>
      </c>
    </row>
    <row r="10" spans="1:2">
      <c r="A10" s="52" t="s">
        <v>11</v>
      </c>
      <c r="B10">
        <v>12</v>
      </c>
    </row>
    <row r="11" spans="1:2">
      <c r="A11" s="52" t="s">
        <v>12</v>
      </c>
      <c r="B11">
        <v>2</v>
      </c>
    </row>
    <row r="12" spans="1:2">
      <c r="A12" s="52" t="s">
        <v>13</v>
      </c>
      <c r="B12">
        <v>1</v>
      </c>
    </row>
    <row r="13" spans="1:2">
      <c r="A13" s="52" t="s">
        <v>14</v>
      </c>
      <c r="B13">
        <v>46</v>
      </c>
    </row>
    <row r="14" spans="1:2">
      <c r="A14" s="52" t="s">
        <v>15</v>
      </c>
      <c r="B14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22F5-4DA1-4B6E-9219-1D0E35163766}">
  <sheetPr filterMode="1">
    <pageSetUpPr fitToPage="1"/>
  </sheetPr>
  <dimension ref="A1:M1046"/>
  <sheetViews>
    <sheetView zoomScale="80" zoomScaleNormal="80" zoomScaleSheetLayoutView="55" workbookViewId="0">
      <pane ySplit="6" topLeftCell="A119" activePane="bottomLeft" state="frozen"/>
      <selection pane="bottomLeft" activeCell="D951" sqref="D951"/>
    </sheetView>
  </sheetViews>
  <sheetFormatPr defaultColWidth="11.42578125" defaultRowHeight="10.5" outlineLevelCol="1"/>
  <cols>
    <col min="1" max="1" width="5" style="40" customWidth="1"/>
    <col min="2" max="2" width="79.140625" style="41" customWidth="1"/>
    <col min="3" max="3" width="56.85546875" style="41" customWidth="1"/>
    <col min="4" max="4" width="119.5703125" style="42" customWidth="1"/>
    <col min="5" max="5" width="6.7109375" style="43" customWidth="1"/>
    <col min="6" max="6" width="9.7109375" style="44" customWidth="1"/>
    <col min="7" max="7" width="13.28515625" style="43" customWidth="1"/>
    <col min="8" max="8" width="12.7109375" style="43" customWidth="1"/>
    <col min="9" max="9" width="6.5703125" style="43" customWidth="1" outlineLevel="1"/>
    <col min="10" max="10" width="16.7109375" style="43" customWidth="1"/>
    <col min="11" max="11" width="53.85546875" style="43" customWidth="1"/>
    <col min="12" max="12" width="13.5703125" style="43" customWidth="1"/>
    <col min="13" max="13" width="21.42578125" style="4" customWidth="1"/>
    <col min="14" max="256" width="11.42578125" style="4"/>
    <col min="257" max="257" width="5" style="4" customWidth="1"/>
    <col min="258" max="258" width="55.28515625" style="4" customWidth="1"/>
    <col min="259" max="259" width="96.28515625" style="4" bestFit="1" customWidth="1"/>
    <col min="260" max="260" width="6.7109375" style="4" customWidth="1"/>
    <col min="261" max="261" width="9.7109375" style="4" customWidth="1"/>
    <col min="262" max="262" width="13.28515625" style="4" customWidth="1"/>
    <col min="263" max="263" width="12.7109375" style="4" customWidth="1"/>
    <col min="264" max="264" width="8.28515625" style="4" customWidth="1"/>
    <col min="265" max="265" width="19.28515625" style="4" customWidth="1"/>
    <col min="266" max="266" width="12.7109375" style="4" customWidth="1"/>
    <col min="267" max="267" width="10" style="4" customWidth="1"/>
    <col min="268" max="268" width="10.140625" style="4" customWidth="1"/>
    <col min="269" max="512" width="11.42578125" style="4"/>
    <col min="513" max="513" width="5" style="4" customWidth="1"/>
    <col min="514" max="514" width="55.28515625" style="4" customWidth="1"/>
    <col min="515" max="515" width="96.28515625" style="4" bestFit="1" customWidth="1"/>
    <col min="516" max="516" width="6.7109375" style="4" customWidth="1"/>
    <col min="517" max="517" width="9.7109375" style="4" customWidth="1"/>
    <col min="518" max="518" width="13.28515625" style="4" customWidth="1"/>
    <col min="519" max="519" width="12.7109375" style="4" customWidth="1"/>
    <col min="520" max="520" width="8.28515625" style="4" customWidth="1"/>
    <col min="521" max="521" width="19.28515625" style="4" customWidth="1"/>
    <col min="522" max="522" width="12.7109375" style="4" customWidth="1"/>
    <col min="523" max="523" width="10" style="4" customWidth="1"/>
    <col min="524" max="524" width="10.140625" style="4" customWidth="1"/>
    <col min="525" max="768" width="11.42578125" style="4"/>
    <col min="769" max="769" width="5" style="4" customWidth="1"/>
    <col min="770" max="770" width="55.28515625" style="4" customWidth="1"/>
    <col min="771" max="771" width="96.28515625" style="4" bestFit="1" customWidth="1"/>
    <col min="772" max="772" width="6.7109375" style="4" customWidth="1"/>
    <col min="773" max="773" width="9.7109375" style="4" customWidth="1"/>
    <col min="774" max="774" width="13.28515625" style="4" customWidth="1"/>
    <col min="775" max="775" width="12.7109375" style="4" customWidth="1"/>
    <col min="776" max="776" width="8.28515625" style="4" customWidth="1"/>
    <col min="777" max="777" width="19.28515625" style="4" customWidth="1"/>
    <col min="778" max="778" width="12.7109375" style="4" customWidth="1"/>
    <col min="779" max="779" width="10" style="4" customWidth="1"/>
    <col min="780" max="780" width="10.140625" style="4" customWidth="1"/>
    <col min="781" max="1024" width="11.42578125" style="4"/>
    <col min="1025" max="1025" width="5" style="4" customWidth="1"/>
    <col min="1026" max="1026" width="55.28515625" style="4" customWidth="1"/>
    <col min="1027" max="1027" width="96.28515625" style="4" bestFit="1" customWidth="1"/>
    <col min="1028" max="1028" width="6.7109375" style="4" customWidth="1"/>
    <col min="1029" max="1029" width="9.7109375" style="4" customWidth="1"/>
    <col min="1030" max="1030" width="13.28515625" style="4" customWidth="1"/>
    <col min="1031" max="1031" width="12.7109375" style="4" customWidth="1"/>
    <col min="1032" max="1032" width="8.28515625" style="4" customWidth="1"/>
    <col min="1033" max="1033" width="19.28515625" style="4" customWidth="1"/>
    <col min="1034" max="1034" width="12.7109375" style="4" customWidth="1"/>
    <col min="1035" max="1035" width="10" style="4" customWidth="1"/>
    <col min="1036" max="1036" width="10.140625" style="4" customWidth="1"/>
    <col min="1037" max="1280" width="11.42578125" style="4"/>
    <col min="1281" max="1281" width="5" style="4" customWidth="1"/>
    <col min="1282" max="1282" width="55.28515625" style="4" customWidth="1"/>
    <col min="1283" max="1283" width="96.28515625" style="4" bestFit="1" customWidth="1"/>
    <col min="1284" max="1284" width="6.7109375" style="4" customWidth="1"/>
    <col min="1285" max="1285" width="9.7109375" style="4" customWidth="1"/>
    <col min="1286" max="1286" width="13.28515625" style="4" customWidth="1"/>
    <col min="1287" max="1287" width="12.7109375" style="4" customWidth="1"/>
    <col min="1288" max="1288" width="8.28515625" style="4" customWidth="1"/>
    <col min="1289" max="1289" width="19.28515625" style="4" customWidth="1"/>
    <col min="1290" max="1290" width="12.7109375" style="4" customWidth="1"/>
    <col min="1291" max="1291" width="10" style="4" customWidth="1"/>
    <col min="1292" max="1292" width="10.140625" style="4" customWidth="1"/>
    <col min="1293" max="1536" width="11.42578125" style="4"/>
    <col min="1537" max="1537" width="5" style="4" customWidth="1"/>
    <col min="1538" max="1538" width="55.28515625" style="4" customWidth="1"/>
    <col min="1539" max="1539" width="96.28515625" style="4" bestFit="1" customWidth="1"/>
    <col min="1540" max="1540" width="6.7109375" style="4" customWidth="1"/>
    <col min="1541" max="1541" width="9.7109375" style="4" customWidth="1"/>
    <col min="1542" max="1542" width="13.28515625" style="4" customWidth="1"/>
    <col min="1543" max="1543" width="12.7109375" style="4" customWidth="1"/>
    <col min="1544" max="1544" width="8.28515625" style="4" customWidth="1"/>
    <col min="1545" max="1545" width="19.28515625" style="4" customWidth="1"/>
    <col min="1546" max="1546" width="12.7109375" style="4" customWidth="1"/>
    <col min="1547" max="1547" width="10" style="4" customWidth="1"/>
    <col min="1548" max="1548" width="10.140625" style="4" customWidth="1"/>
    <col min="1549" max="1792" width="11.42578125" style="4"/>
    <col min="1793" max="1793" width="5" style="4" customWidth="1"/>
    <col min="1794" max="1794" width="55.28515625" style="4" customWidth="1"/>
    <col min="1795" max="1795" width="96.28515625" style="4" bestFit="1" customWidth="1"/>
    <col min="1796" max="1796" width="6.7109375" style="4" customWidth="1"/>
    <col min="1797" max="1797" width="9.7109375" style="4" customWidth="1"/>
    <col min="1798" max="1798" width="13.28515625" style="4" customWidth="1"/>
    <col min="1799" max="1799" width="12.7109375" style="4" customWidth="1"/>
    <col min="1800" max="1800" width="8.28515625" style="4" customWidth="1"/>
    <col min="1801" max="1801" width="19.28515625" style="4" customWidth="1"/>
    <col min="1802" max="1802" width="12.7109375" style="4" customWidth="1"/>
    <col min="1803" max="1803" width="10" style="4" customWidth="1"/>
    <col min="1804" max="1804" width="10.140625" style="4" customWidth="1"/>
    <col min="1805" max="2048" width="11.42578125" style="4"/>
    <col min="2049" max="2049" width="5" style="4" customWidth="1"/>
    <col min="2050" max="2050" width="55.28515625" style="4" customWidth="1"/>
    <col min="2051" max="2051" width="96.28515625" style="4" bestFit="1" customWidth="1"/>
    <col min="2052" max="2052" width="6.7109375" style="4" customWidth="1"/>
    <col min="2053" max="2053" width="9.7109375" style="4" customWidth="1"/>
    <col min="2054" max="2054" width="13.28515625" style="4" customWidth="1"/>
    <col min="2055" max="2055" width="12.7109375" style="4" customWidth="1"/>
    <col min="2056" max="2056" width="8.28515625" style="4" customWidth="1"/>
    <col min="2057" max="2057" width="19.28515625" style="4" customWidth="1"/>
    <col min="2058" max="2058" width="12.7109375" style="4" customWidth="1"/>
    <col min="2059" max="2059" width="10" style="4" customWidth="1"/>
    <col min="2060" max="2060" width="10.140625" style="4" customWidth="1"/>
    <col min="2061" max="2304" width="11.42578125" style="4"/>
    <col min="2305" max="2305" width="5" style="4" customWidth="1"/>
    <col min="2306" max="2306" width="55.28515625" style="4" customWidth="1"/>
    <col min="2307" max="2307" width="96.28515625" style="4" bestFit="1" customWidth="1"/>
    <col min="2308" max="2308" width="6.7109375" style="4" customWidth="1"/>
    <col min="2309" max="2309" width="9.7109375" style="4" customWidth="1"/>
    <col min="2310" max="2310" width="13.28515625" style="4" customWidth="1"/>
    <col min="2311" max="2311" width="12.7109375" style="4" customWidth="1"/>
    <col min="2312" max="2312" width="8.28515625" style="4" customWidth="1"/>
    <col min="2313" max="2313" width="19.28515625" style="4" customWidth="1"/>
    <col min="2314" max="2314" width="12.7109375" style="4" customWidth="1"/>
    <col min="2315" max="2315" width="10" style="4" customWidth="1"/>
    <col min="2316" max="2316" width="10.140625" style="4" customWidth="1"/>
    <col min="2317" max="2560" width="11.42578125" style="4"/>
    <col min="2561" max="2561" width="5" style="4" customWidth="1"/>
    <col min="2562" max="2562" width="55.28515625" style="4" customWidth="1"/>
    <col min="2563" max="2563" width="96.28515625" style="4" bestFit="1" customWidth="1"/>
    <col min="2564" max="2564" width="6.7109375" style="4" customWidth="1"/>
    <col min="2565" max="2565" width="9.7109375" style="4" customWidth="1"/>
    <col min="2566" max="2566" width="13.28515625" style="4" customWidth="1"/>
    <col min="2567" max="2567" width="12.7109375" style="4" customWidth="1"/>
    <col min="2568" max="2568" width="8.28515625" style="4" customWidth="1"/>
    <col min="2569" max="2569" width="19.28515625" style="4" customWidth="1"/>
    <col min="2570" max="2570" width="12.7109375" style="4" customWidth="1"/>
    <col min="2571" max="2571" width="10" style="4" customWidth="1"/>
    <col min="2572" max="2572" width="10.140625" style="4" customWidth="1"/>
    <col min="2573" max="2816" width="11.42578125" style="4"/>
    <col min="2817" max="2817" width="5" style="4" customWidth="1"/>
    <col min="2818" max="2818" width="55.28515625" style="4" customWidth="1"/>
    <col min="2819" max="2819" width="96.28515625" style="4" bestFit="1" customWidth="1"/>
    <col min="2820" max="2820" width="6.7109375" style="4" customWidth="1"/>
    <col min="2821" max="2821" width="9.7109375" style="4" customWidth="1"/>
    <col min="2822" max="2822" width="13.28515625" style="4" customWidth="1"/>
    <col min="2823" max="2823" width="12.7109375" style="4" customWidth="1"/>
    <col min="2824" max="2824" width="8.28515625" style="4" customWidth="1"/>
    <col min="2825" max="2825" width="19.28515625" style="4" customWidth="1"/>
    <col min="2826" max="2826" width="12.7109375" style="4" customWidth="1"/>
    <col min="2827" max="2827" width="10" style="4" customWidth="1"/>
    <col min="2828" max="2828" width="10.140625" style="4" customWidth="1"/>
    <col min="2829" max="3072" width="11.42578125" style="4"/>
    <col min="3073" max="3073" width="5" style="4" customWidth="1"/>
    <col min="3074" max="3074" width="55.28515625" style="4" customWidth="1"/>
    <col min="3075" max="3075" width="96.28515625" style="4" bestFit="1" customWidth="1"/>
    <col min="3076" max="3076" width="6.7109375" style="4" customWidth="1"/>
    <col min="3077" max="3077" width="9.7109375" style="4" customWidth="1"/>
    <col min="3078" max="3078" width="13.28515625" style="4" customWidth="1"/>
    <col min="3079" max="3079" width="12.7109375" style="4" customWidth="1"/>
    <col min="3080" max="3080" width="8.28515625" style="4" customWidth="1"/>
    <col min="3081" max="3081" width="19.28515625" style="4" customWidth="1"/>
    <col min="3082" max="3082" width="12.7109375" style="4" customWidth="1"/>
    <col min="3083" max="3083" width="10" style="4" customWidth="1"/>
    <col min="3084" max="3084" width="10.140625" style="4" customWidth="1"/>
    <col min="3085" max="3328" width="11.42578125" style="4"/>
    <col min="3329" max="3329" width="5" style="4" customWidth="1"/>
    <col min="3330" max="3330" width="55.28515625" style="4" customWidth="1"/>
    <col min="3331" max="3331" width="96.28515625" style="4" bestFit="1" customWidth="1"/>
    <col min="3332" max="3332" width="6.7109375" style="4" customWidth="1"/>
    <col min="3333" max="3333" width="9.7109375" style="4" customWidth="1"/>
    <col min="3334" max="3334" width="13.28515625" style="4" customWidth="1"/>
    <col min="3335" max="3335" width="12.7109375" style="4" customWidth="1"/>
    <col min="3336" max="3336" width="8.28515625" style="4" customWidth="1"/>
    <col min="3337" max="3337" width="19.28515625" style="4" customWidth="1"/>
    <col min="3338" max="3338" width="12.7109375" style="4" customWidth="1"/>
    <col min="3339" max="3339" width="10" style="4" customWidth="1"/>
    <col min="3340" max="3340" width="10.140625" style="4" customWidth="1"/>
    <col min="3341" max="3584" width="11.42578125" style="4"/>
    <col min="3585" max="3585" width="5" style="4" customWidth="1"/>
    <col min="3586" max="3586" width="55.28515625" style="4" customWidth="1"/>
    <col min="3587" max="3587" width="96.28515625" style="4" bestFit="1" customWidth="1"/>
    <col min="3588" max="3588" width="6.7109375" style="4" customWidth="1"/>
    <col min="3589" max="3589" width="9.7109375" style="4" customWidth="1"/>
    <col min="3590" max="3590" width="13.28515625" style="4" customWidth="1"/>
    <col min="3591" max="3591" width="12.7109375" style="4" customWidth="1"/>
    <col min="3592" max="3592" width="8.28515625" style="4" customWidth="1"/>
    <col min="3593" max="3593" width="19.28515625" style="4" customWidth="1"/>
    <col min="3594" max="3594" width="12.7109375" style="4" customWidth="1"/>
    <col min="3595" max="3595" width="10" style="4" customWidth="1"/>
    <col min="3596" max="3596" width="10.140625" style="4" customWidth="1"/>
    <col min="3597" max="3840" width="11.42578125" style="4"/>
    <col min="3841" max="3841" width="5" style="4" customWidth="1"/>
    <col min="3842" max="3842" width="55.28515625" style="4" customWidth="1"/>
    <col min="3843" max="3843" width="96.28515625" style="4" bestFit="1" customWidth="1"/>
    <col min="3844" max="3844" width="6.7109375" style="4" customWidth="1"/>
    <col min="3845" max="3845" width="9.7109375" style="4" customWidth="1"/>
    <col min="3846" max="3846" width="13.28515625" style="4" customWidth="1"/>
    <col min="3847" max="3847" width="12.7109375" style="4" customWidth="1"/>
    <col min="3848" max="3848" width="8.28515625" style="4" customWidth="1"/>
    <col min="3849" max="3849" width="19.28515625" style="4" customWidth="1"/>
    <col min="3850" max="3850" width="12.7109375" style="4" customWidth="1"/>
    <col min="3851" max="3851" width="10" style="4" customWidth="1"/>
    <col min="3852" max="3852" width="10.140625" style="4" customWidth="1"/>
    <col min="3853" max="4096" width="11.42578125" style="4"/>
    <col min="4097" max="4097" width="5" style="4" customWidth="1"/>
    <col min="4098" max="4098" width="55.28515625" style="4" customWidth="1"/>
    <col min="4099" max="4099" width="96.28515625" style="4" bestFit="1" customWidth="1"/>
    <col min="4100" max="4100" width="6.7109375" style="4" customWidth="1"/>
    <col min="4101" max="4101" width="9.7109375" style="4" customWidth="1"/>
    <col min="4102" max="4102" width="13.28515625" style="4" customWidth="1"/>
    <col min="4103" max="4103" width="12.7109375" style="4" customWidth="1"/>
    <col min="4104" max="4104" width="8.28515625" style="4" customWidth="1"/>
    <col min="4105" max="4105" width="19.28515625" style="4" customWidth="1"/>
    <col min="4106" max="4106" width="12.7109375" style="4" customWidth="1"/>
    <col min="4107" max="4107" width="10" style="4" customWidth="1"/>
    <col min="4108" max="4108" width="10.140625" style="4" customWidth="1"/>
    <col min="4109" max="4352" width="11.42578125" style="4"/>
    <col min="4353" max="4353" width="5" style="4" customWidth="1"/>
    <col min="4354" max="4354" width="55.28515625" style="4" customWidth="1"/>
    <col min="4355" max="4355" width="96.28515625" style="4" bestFit="1" customWidth="1"/>
    <col min="4356" max="4356" width="6.7109375" style="4" customWidth="1"/>
    <col min="4357" max="4357" width="9.7109375" style="4" customWidth="1"/>
    <col min="4358" max="4358" width="13.28515625" style="4" customWidth="1"/>
    <col min="4359" max="4359" width="12.7109375" style="4" customWidth="1"/>
    <col min="4360" max="4360" width="8.28515625" style="4" customWidth="1"/>
    <col min="4361" max="4361" width="19.28515625" style="4" customWidth="1"/>
    <col min="4362" max="4362" width="12.7109375" style="4" customWidth="1"/>
    <col min="4363" max="4363" width="10" style="4" customWidth="1"/>
    <col min="4364" max="4364" width="10.140625" style="4" customWidth="1"/>
    <col min="4365" max="4608" width="11.42578125" style="4"/>
    <col min="4609" max="4609" width="5" style="4" customWidth="1"/>
    <col min="4610" max="4610" width="55.28515625" style="4" customWidth="1"/>
    <col min="4611" max="4611" width="96.28515625" style="4" bestFit="1" customWidth="1"/>
    <col min="4612" max="4612" width="6.7109375" style="4" customWidth="1"/>
    <col min="4613" max="4613" width="9.7109375" style="4" customWidth="1"/>
    <col min="4614" max="4614" width="13.28515625" style="4" customWidth="1"/>
    <col min="4615" max="4615" width="12.7109375" style="4" customWidth="1"/>
    <col min="4616" max="4616" width="8.28515625" style="4" customWidth="1"/>
    <col min="4617" max="4617" width="19.28515625" style="4" customWidth="1"/>
    <col min="4618" max="4618" width="12.7109375" style="4" customWidth="1"/>
    <col min="4619" max="4619" width="10" style="4" customWidth="1"/>
    <col min="4620" max="4620" width="10.140625" style="4" customWidth="1"/>
    <col min="4621" max="4864" width="11.42578125" style="4"/>
    <col min="4865" max="4865" width="5" style="4" customWidth="1"/>
    <col min="4866" max="4866" width="55.28515625" style="4" customWidth="1"/>
    <col min="4867" max="4867" width="96.28515625" style="4" bestFit="1" customWidth="1"/>
    <col min="4868" max="4868" width="6.7109375" style="4" customWidth="1"/>
    <col min="4869" max="4869" width="9.7109375" style="4" customWidth="1"/>
    <col min="4870" max="4870" width="13.28515625" style="4" customWidth="1"/>
    <col min="4871" max="4871" width="12.7109375" style="4" customWidth="1"/>
    <col min="4872" max="4872" width="8.28515625" style="4" customWidth="1"/>
    <col min="4873" max="4873" width="19.28515625" style="4" customWidth="1"/>
    <col min="4874" max="4874" width="12.7109375" style="4" customWidth="1"/>
    <col min="4875" max="4875" width="10" style="4" customWidth="1"/>
    <col min="4876" max="4876" width="10.140625" style="4" customWidth="1"/>
    <col min="4877" max="5120" width="11.42578125" style="4"/>
    <col min="5121" max="5121" width="5" style="4" customWidth="1"/>
    <col min="5122" max="5122" width="55.28515625" style="4" customWidth="1"/>
    <col min="5123" max="5123" width="96.28515625" style="4" bestFit="1" customWidth="1"/>
    <col min="5124" max="5124" width="6.7109375" style="4" customWidth="1"/>
    <col min="5125" max="5125" width="9.7109375" style="4" customWidth="1"/>
    <col min="5126" max="5126" width="13.28515625" style="4" customWidth="1"/>
    <col min="5127" max="5127" width="12.7109375" style="4" customWidth="1"/>
    <col min="5128" max="5128" width="8.28515625" style="4" customWidth="1"/>
    <col min="5129" max="5129" width="19.28515625" style="4" customWidth="1"/>
    <col min="5130" max="5130" width="12.7109375" style="4" customWidth="1"/>
    <col min="5131" max="5131" width="10" style="4" customWidth="1"/>
    <col min="5132" max="5132" width="10.140625" style="4" customWidth="1"/>
    <col min="5133" max="5376" width="11.42578125" style="4"/>
    <col min="5377" max="5377" width="5" style="4" customWidth="1"/>
    <col min="5378" max="5378" width="55.28515625" style="4" customWidth="1"/>
    <col min="5379" max="5379" width="96.28515625" style="4" bestFit="1" customWidth="1"/>
    <col min="5380" max="5380" width="6.7109375" style="4" customWidth="1"/>
    <col min="5381" max="5381" width="9.7109375" style="4" customWidth="1"/>
    <col min="5382" max="5382" width="13.28515625" style="4" customWidth="1"/>
    <col min="5383" max="5383" width="12.7109375" style="4" customWidth="1"/>
    <col min="5384" max="5384" width="8.28515625" style="4" customWidth="1"/>
    <col min="5385" max="5385" width="19.28515625" style="4" customWidth="1"/>
    <col min="5386" max="5386" width="12.7109375" style="4" customWidth="1"/>
    <col min="5387" max="5387" width="10" style="4" customWidth="1"/>
    <col min="5388" max="5388" width="10.140625" style="4" customWidth="1"/>
    <col min="5389" max="5632" width="11.42578125" style="4"/>
    <col min="5633" max="5633" width="5" style="4" customWidth="1"/>
    <col min="5634" max="5634" width="55.28515625" style="4" customWidth="1"/>
    <col min="5635" max="5635" width="96.28515625" style="4" bestFit="1" customWidth="1"/>
    <col min="5636" max="5636" width="6.7109375" style="4" customWidth="1"/>
    <col min="5637" max="5637" width="9.7109375" style="4" customWidth="1"/>
    <col min="5638" max="5638" width="13.28515625" style="4" customWidth="1"/>
    <col min="5639" max="5639" width="12.7109375" style="4" customWidth="1"/>
    <col min="5640" max="5640" width="8.28515625" style="4" customWidth="1"/>
    <col min="5641" max="5641" width="19.28515625" style="4" customWidth="1"/>
    <col min="5642" max="5642" width="12.7109375" style="4" customWidth="1"/>
    <col min="5643" max="5643" width="10" style="4" customWidth="1"/>
    <col min="5644" max="5644" width="10.140625" style="4" customWidth="1"/>
    <col min="5645" max="5888" width="11.42578125" style="4"/>
    <col min="5889" max="5889" width="5" style="4" customWidth="1"/>
    <col min="5890" max="5890" width="55.28515625" style="4" customWidth="1"/>
    <col min="5891" max="5891" width="96.28515625" style="4" bestFit="1" customWidth="1"/>
    <col min="5892" max="5892" width="6.7109375" style="4" customWidth="1"/>
    <col min="5893" max="5893" width="9.7109375" style="4" customWidth="1"/>
    <col min="5894" max="5894" width="13.28515625" style="4" customWidth="1"/>
    <col min="5895" max="5895" width="12.7109375" style="4" customWidth="1"/>
    <col min="5896" max="5896" width="8.28515625" style="4" customWidth="1"/>
    <col min="5897" max="5897" width="19.28515625" style="4" customWidth="1"/>
    <col min="5898" max="5898" width="12.7109375" style="4" customWidth="1"/>
    <col min="5899" max="5899" width="10" style="4" customWidth="1"/>
    <col min="5900" max="5900" width="10.140625" style="4" customWidth="1"/>
    <col min="5901" max="6144" width="11.42578125" style="4"/>
    <col min="6145" max="6145" width="5" style="4" customWidth="1"/>
    <col min="6146" max="6146" width="55.28515625" style="4" customWidth="1"/>
    <col min="6147" max="6147" width="96.28515625" style="4" bestFit="1" customWidth="1"/>
    <col min="6148" max="6148" width="6.7109375" style="4" customWidth="1"/>
    <col min="6149" max="6149" width="9.7109375" style="4" customWidth="1"/>
    <col min="6150" max="6150" width="13.28515625" style="4" customWidth="1"/>
    <col min="6151" max="6151" width="12.7109375" style="4" customWidth="1"/>
    <col min="6152" max="6152" width="8.28515625" style="4" customWidth="1"/>
    <col min="6153" max="6153" width="19.28515625" style="4" customWidth="1"/>
    <col min="6154" max="6154" width="12.7109375" style="4" customWidth="1"/>
    <col min="6155" max="6155" width="10" style="4" customWidth="1"/>
    <col min="6156" max="6156" width="10.140625" style="4" customWidth="1"/>
    <col min="6157" max="6400" width="11.42578125" style="4"/>
    <col min="6401" max="6401" width="5" style="4" customWidth="1"/>
    <col min="6402" max="6402" width="55.28515625" style="4" customWidth="1"/>
    <col min="6403" max="6403" width="96.28515625" style="4" bestFit="1" customWidth="1"/>
    <col min="6404" max="6404" width="6.7109375" style="4" customWidth="1"/>
    <col min="6405" max="6405" width="9.7109375" style="4" customWidth="1"/>
    <col min="6406" max="6406" width="13.28515625" style="4" customWidth="1"/>
    <col min="6407" max="6407" width="12.7109375" style="4" customWidth="1"/>
    <col min="6408" max="6408" width="8.28515625" style="4" customWidth="1"/>
    <col min="6409" max="6409" width="19.28515625" style="4" customWidth="1"/>
    <col min="6410" max="6410" width="12.7109375" style="4" customWidth="1"/>
    <col min="6411" max="6411" width="10" style="4" customWidth="1"/>
    <col min="6412" max="6412" width="10.140625" style="4" customWidth="1"/>
    <col min="6413" max="6656" width="11.42578125" style="4"/>
    <col min="6657" max="6657" width="5" style="4" customWidth="1"/>
    <col min="6658" max="6658" width="55.28515625" style="4" customWidth="1"/>
    <col min="6659" max="6659" width="96.28515625" style="4" bestFit="1" customWidth="1"/>
    <col min="6660" max="6660" width="6.7109375" style="4" customWidth="1"/>
    <col min="6661" max="6661" width="9.7109375" style="4" customWidth="1"/>
    <col min="6662" max="6662" width="13.28515625" style="4" customWidth="1"/>
    <col min="6663" max="6663" width="12.7109375" style="4" customWidth="1"/>
    <col min="6664" max="6664" width="8.28515625" style="4" customWidth="1"/>
    <col min="6665" max="6665" width="19.28515625" style="4" customWidth="1"/>
    <col min="6666" max="6666" width="12.7109375" style="4" customWidth="1"/>
    <col min="6667" max="6667" width="10" style="4" customWidth="1"/>
    <col min="6668" max="6668" width="10.140625" style="4" customWidth="1"/>
    <col min="6669" max="6912" width="11.42578125" style="4"/>
    <col min="6913" max="6913" width="5" style="4" customWidth="1"/>
    <col min="6914" max="6914" width="55.28515625" style="4" customWidth="1"/>
    <col min="6915" max="6915" width="96.28515625" style="4" bestFit="1" customWidth="1"/>
    <col min="6916" max="6916" width="6.7109375" style="4" customWidth="1"/>
    <col min="6917" max="6917" width="9.7109375" style="4" customWidth="1"/>
    <col min="6918" max="6918" width="13.28515625" style="4" customWidth="1"/>
    <col min="6919" max="6919" width="12.7109375" style="4" customWidth="1"/>
    <col min="6920" max="6920" width="8.28515625" style="4" customWidth="1"/>
    <col min="6921" max="6921" width="19.28515625" style="4" customWidth="1"/>
    <col min="6922" max="6922" width="12.7109375" style="4" customWidth="1"/>
    <col min="6923" max="6923" width="10" style="4" customWidth="1"/>
    <col min="6924" max="6924" width="10.140625" style="4" customWidth="1"/>
    <col min="6925" max="7168" width="11.42578125" style="4"/>
    <col min="7169" max="7169" width="5" style="4" customWidth="1"/>
    <col min="7170" max="7170" width="55.28515625" style="4" customWidth="1"/>
    <col min="7171" max="7171" width="96.28515625" style="4" bestFit="1" customWidth="1"/>
    <col min="7172" max="7172" width="6.7109375" style="4" customWidth="1"/>
    <col min="7173" max="7173" width="9.7109375" style="4" customWidth="1"/>
    <col min="7174" max="7174" width="13.28515625" style="4" customWidth="1"/>
    <col min="7175" max="7175" width="12.7109375" style="4" customWidth="1"/>
    <col min="7176" max="7176" width="8.28515625" style="4" customWidth="1"/>
    <col min="7177" max="7177" width="19.28515625" style="4" customWidth="1"/>
    <col min="7178" max="7178" width="12.7109375" style="4" customWidth="1"/>
    <col min="7179" max="7179" width="10" style="4" customWidth="1"/>
    <col min="7180" max="7180" width="10.140625" style="4" customWidth="1"/>
    <col min="7181" max="7424" width="11.42578125" style="4"/>
    <col min="7425" max="7425" width="5" style="4" customWidth="1"/>
    <col min="7426" max="7426" width="55.28515625" style="4" customWidth="1"/>
    <col min="7427" max="7427" width="96.28515625" style="4" bestFit="1" customWidth="1"/>
    <col min="7428" max="7428" width="6.7109375" style="4" customWidth="1"/>
    <col min="7429" max="7429" width="9.7109375" style="4" customWidth="1"/>
    <col min="7430" max="7430" width="13.28515625" style="4" customWidth="1"/>
    <col min="7431" max="7431" width="12.7109375" style="4" customWidth="1"/>
    <col min="7432" max="7432" width="8.28515625" style="4" customWidth="1"/>
    <col min="7433" max="7433" width="19.28515625" style="4" customWidth="1"/>
    <col min="7434" max="7434" width="12.7109375" style="4" customWidth="1"/>
    <col min="7435" max="7435" width="10" style="4" customWidth="1"/>
    <col min="7436" max="7436" width="10.140625" style="4" customWidth="1"/>
    <col min="7437" max="7680" width="11.42578125" style="4"/>
    <col min="7681" max="7681" width="5" style="4" customWidth="1"/>
    <col min="7682" max="7682" width="55.28515625" style="4" customWidth="1"/>
    <col min="7683" max="7683" width="96.28515625" style="4" bestFit="1" customWidth="1"/>
    <col min="7684" max="7684" width="6.7109375" style="4" customWidth="1"/>
    <col min="7685" max="7685" width="9.7109375" style="4" customWidth="1"/>
    <col min="7686" max="7686" width="13.28515625" style="4" customWidth="1"/>
    <col min="7687" max="7687" width="12.7109375" style="4" customWidth="1"/>
    <col min="7688" max="7688" width="8.28515625" style="4" customWidth="1"/>
    <col min="7689" max="7689" width="19.28515625" style="4" customWidth="1"/>
    <col min="7690" max="7690" width="12.7109375" style="4" customWidth="1"/>
    <col min="7691" max="7691" width="10" style="4" customWidth="1"/>
    <col min="7692" max="7692" width="10.140625" style="4" customWidth="1"/>
    <col min="7693" max="7936" width="11.42578125" style="4"/>
    <col min="7937" max="7937" width="5" style="4" customWidth="1"/>
    <col min="7938" max="7938" width="55.28515625" style="4" customWidth="1"/>
    <col min="7939" max="7939" width="96.28515625" style="4" bestFit="1" customWidth="1"/>
    <col min="7940" max="7940" width="6.7109375" style="4" customWidth="1"/>
    <col min="7941" max="7941" width="9.7109375" style="4" customWidth="1"/>
    <col min="7942" max="7942" width="13.28515625" style="4" customWidth="1"/>
    <col min="7943" max="7943" width="12.7109375" style="4" customWidth="1"/>
    <col min="7944" max="7944" width="8.28515625" style="4" customWidth="1"/>
    <col min="7945" max="7945" width="19.28515625" style="4" customWidth="1"/>
    <col min="7946" max="7946" width="12.7109375" style="4" customWidth="1"/>
    <col min="7947" max="7947" width="10" style="4" customWidth="1"/>
    <col min="7948" max="7948" width="10.140625" style="4" customWidth="1"/>
    <col min="7949" max="8192" width="11.42578125" style="4"/>
    <col min="8193" max="8193" width="5" style="4" customWidth="1"/>
    <col min="8194" max="8194" width="55.28515625" style="4" customWidth="1"/>
    <col min="8195" max="8195" width="96.28515625" style="4" bestFit="1" customWidth="1"/>
    <col min="8196" max="8196" width="6.7109375" style="4" customWidth="1"/>
    <col min="8197" max="8197" width="9.7109375" style="4" customWidth="1"/>
    <col min="8198" max="8198" width="13.28515625" style="4" customWidth="1"/>
    <col min="8199" max="8199" width="12.7109375" style="4" customWidth="1"/>
    <col min="8200" max="8200" width="8.28515625" style="4" customWidth="1"/>
    <col min="8201" max="8201" width="19.28515625" style="4" customWidth="1"/>
    <col min="8202" max="8202" width="12.7109375" style="4" customWidth="1"/>
    <col min="8203" max="8203" width="10" style="4" customWidth="1"/>
    <col min="8204" max="8204" width="10.140625" style="4" customWidth="1"/>
    <col min="8205" max="8448" width="11.42578125" style="4"/>
    <col min="8449" max="8449" width="5" style="4" customWidth="1"/>
    <col min="8450" max="8450" width="55.28515625" style="4" customWidth="1"/>
    <col min="8451" max="8451" width="96.28515625" style="4" bestFit="1" customWidth="1"/>
    <col min="8452" max="8452" width="6.7109375" style="4" customWidth="1"/>
    <col min="8453" max="8453" width="9.7109375" style="4" customWidth="1"/>
    <col min="8454" max="8454" width="13.28515625" style="4" customWidth="1"/>
    <col min="8455" max="8455" width="12.7109375" style="4" customWidth="1"/>
    <col min="8456" max="8456" width="8.28515625" style="4" customWidth="1"/>
    <col min="8457" max="8457" width="19.28515625" style="4" customWidth="1"/>
    <col min="8458" max="8458" width="12.7109375" style="4" customWidth="1"/>
    <col min="8459" max="8459" width="10" style="4" customWidth="1"/>
    <col min="8460" max="8460" width="10.140625" style="4" customWidth="1"/>
    <col min="8461" max="8704" width="11.42578125" style="4"/>
    <col min="8705" max="8705" width="5" style="4" customWidth="1"/>
    <col min="8706" max="8706" width="55.28515625" style="4" customWidth="1"/>
    <col min="8707" max="8707" width="96.28515625" style="4" bestFit="1" customWidth="1"/>
    <col min="8708" max="8708" width="6.7109375" style="4" customWidth="1"/>
    <col min="8709" max="8709" width="9.7109375" style="4" customWidth="1"/>
    <col min="8710" max="8710" width="13.28515625" style="4" customWidth="1"/>
    <col min="8711" max="8711" width="12.7109375" style="4" customWidth="1"/>
    <col min="8712" max="8712" width="8.28515625" style="4" customWidth="1"/>
    <col min="8713" max="8713" width="19.28515625" style="4" customWidth="1"/>
    <col min="8714" max="8714" width="12.7109375" style="4" customWidth="1"/>
    <col min="8715" max="8715" width="10" style="4" customWidth="1"/>
    <col min="8716" max="8716" width="10.140625" style="4" customWidth="1"/>
    <col min="8717" max="8960" width="11.42578125" style="4"/>
    <col min="8961" max="8961" width="5" style="4" customWidth="1"/>
    <col min="8962" max="8962" width="55.28515625" style="4" customWidth="1"/>
    <col min="8963" max="8963" width="96.28515625" style="4" bestFit="1" customWidth="1"/>
    <col min="8964" max="8964" width="6.7109375" style="4" customWidth="1"/>
    <col min="8965" max="8965" width="9.7109375" style="4" customWidth="1"/>
    <col min="8966" max="8966" width="13.28515625" style="4" customWidth="1"/>
    <col min="8967" max="8967" width="12.7109375" style="4" customWidth="1"/>
    <col min="8968" max="8968" width="8.28515625" style="4" customWidth="1"/>
    <col min="8969" max="8969" width="19.28515625" style="4" customWidth="1"/>
    <col min="8970" max="8970" width="12.7109375" style="4" customWidth="1"/>
    <col min="8971" max="8971" width="10" style="4" customWidth="1"/>
    <col min="8972" max="8972" width="10.140625" style="4" customWidth="1"/>
    <col min="8973" max="9216" width="11.42578125" style="4"/>
    <col min="9217" max="9217" width="5" style="4" customWidth="1"/>
    <col min="9218" max="9218" width="55.28515625" style="4" customWidth="1"/>
    <col min="9219" max="9219" width="96.28515625" style="4" bestFit="1" customWidth="1"/>
    <col min="9220" max="9220" width="6.7109375" style="4" customWidth="1"/>
    <col min="9221" max="9221" width="9.7109375" style="4" customWidth="1"/>
    <col min="9222" max="9222" width="13.28515625" style="4" customWidth="1"/>
    <col min="9223" max="9223" width="12.7109375" style="4" customWidth="1"/>
    <col min="9224" max="9224" width="8.28515625" style="4" customWidth="1"/>
    <col min="9225" max="9225" width="19.28515625" style="4" customWidth="1"/>
    <col min="9226" max="9226" width="12.7109375" style="4" customWidth="1"/>
    <col min="9227" max="9227" width="10" style="4" customWidth="1"/>
    <col min="9228" max="9228" width="10.140625" style="4" customWidth="1"/>
    <col min="9229" max="9472" width="11.42578125" style="4"/>
    <col min="9473" max="9473" width="5" style="4" customWidth="1"/>
    <col min="9474" max="9474" width="55.28515625" style="4" customWidth="1"/>
    <col min="9475" max="9475" width="96.28515625" style="4" bestFit="1" customWidth="1"/>
    <col min="9476" max="9476" width="6.7109375" style="4" customWidth="1"/>
    <col min="9477" max="9477" width="9.7109375" style="4" customWidth="1"/>
    <col min="9478" max="9478" width="13.28515625" style="4" customWidth="1"/>
    <col min="9479" max="9479" width="12.7109375" style="4" customWidth="1"/>
    <col min="9480" max="9480" width="8.28515625" style="4" customWidth="1"/>
    <col min="9481" max="9481" width="19.28515625" style="4" customWidth="1"/>
    <col min="9482" max="9482" width="12.7109375" style="4" customWidth="1"/>
    <col min="9483" max="9483" width="10" style="4" customWidth="1"/>
    <col min="9484" max="9484" width="10.140625" style="4" customWidth="1"/>
    <col min="9485" max="9728" width="11.42578125" style="4"/>
    <col min="9729" max="9729" width="5" style="4" customWidth="1"/>
    <col min="9730" max="9730" width="55.28515625" style="4" customWidth="1"/>
    <col min="9731" max="9731" width="96.28515625" style="4" bestFit="1" customWidth="1"/>
    <col min="9732" max="9732" width="6.7109375" style="4" customWidth="1"/>
    <col min="9733" max="9733" width="9.7109375" style="4" customWidth="1"/>
    <col min="9734" max="9734" width="13.28515625" style="4" customWidth="1"/>
    <col min="9735" max="9735" width="12.7109375" style="4" customWidth="1"/>
    <col min="9736" max="9736" width="8.28515625" style="4" customWidth="1"/>
    <col min="9737" max="9737" width="19.28515625" style="4" customWidth="1"/>
    <col min="9738" max="9738" width="12.7109375" style="4" customWidth="1"/>
    <col min="9739" max="9739" width="10" style="4" customWidth="1"/>
    <col min="9740" max="9740" width="10.140625" style="4" customWidth="1"/>
    <col min="9741" max="9984" width="11.42578125" style="4"/>
    <col min="9985" max="9985" width="5" style="4" customWidth="1"/>
    <col min="9986" max="9986" width="55.28515625" style="4" customWidth="1"/>
    <col min="9987" max="9987" width="96.28515625" style="4" bestFit="1" customWidth="1"/>
    <col min="9988" max="9988" width="6.7109375" style="4" customWidth="1"/>
    <col min="9989" max="9989" width="9.7109375" style="4" customWidth="1"/>
    <col min="9990" max="9990" width="13.28515625" style="4" customWidth="1"/>
    <col min="9991" max="9991" width="12.7109375" style="4" customWidth="1"/>
    <col min="9992" max="9992" width="8.28515625" style="4" customWidth="1"/>
    <col min="9993" max="9993" width="19.28515625" style="4" customWidth="1"/>
    <col min="9994" max="9994" width="12.7109375" style="4" customWidth="1"/>
    <col min="9995" max="9995" width="10" style="4" customWidth="1"/>
    <col min="9996" max="9996" width="10.140625" style="4" customWidth="1"/>
    <col min="9997" max="10240" width="11.42578125" style="4"/>
    <col min="10241" max="10241" width="5" style="4" customWidth="1"/>
    <col min="10242" max="10242" width="55.28515625" style="4" customWidth="1"/>
    <col min="10243" max="10243" width="96.28515625" style="4" bestFit="1" customWidth="1"/>
    <col min="10244" max="10244" width="6.7109375" style="4" customWidth="1"/>
    <col min="10245" max="10245" width="9.7109375" style="4" customWidth="1"/>
    <col min="10246" max="10246" width="13.28515625" style="4" customWidth="1"/>
    <col min="10247" max="10247" width="12.7109375" style="4" customWidth="1"/>
    <col min="10248" max="10248" width="8.28515625" style="4" customWidth="1"/>
    <col min="10249" max="10249" width="19.28515625" style="4" customWidth="1"/>
    <col min="10250" max="10250" width="12.7109375" style="4" customWidth="1"/>
    <col min="10251" max="10251" width="10" style="4" customWidth="1"/>
    <col min="10252" max="10252" width="10.140625" style="4" customWidth="1"/>
    <col min="10253" max="10496" width="11.42578125" style="4"/>
    <col min="10497" max="10497" width="5" style="4" customWidth="1"/>
    <col min="10498" max="10498" width="55.28515625" style="4" customWidth="1"/>
    <col min="10499" max="10499" width="96.28515625" style="4" bestFit="1" customWidth="1"/>
    <col min="10500" max="10500" width="6.7109375" style="4" customWidth="1"/>
    <col min="10501" max="10501" width="9.7109375" style="4" customWidth="1"/>
    <col min="10502" max="10502" width="13.28515625" style="4" customWidth="1"/>
    <col min="10503" max="10503" width="12.7109375" style="4" customWidth="1"/>
    <col min="10504" max="10504" width="8.28515625" style="4" customWidth="1"/>
    <col min="10505" max="10505" width="19.28515625" style="4" customWidth="1"/>
    <col min="10506" max="10506" width="12.7109375" style="4" customWidth="1"/>
    <col min="10507" max="10507" width="10" style="4" customWidth="1"/>
    <col min="10508" max="10508" width="10.140625" style="4" customWidth="1"/>
    <col min="10509" max="10752" width="11.42578125" style="4"/>
    <col min="10753" max="10753" width="5" style="4" customWidth="1"/>
    <col min="10754" max="10754" width="55.28515625" style="4" customWidth="1"/>
    <col min="10755" max="10755" width="96.28515625" style="4" bestFit="1" customWidth="1"/>
    <col min="10756" max="10756" width="6.7109375" style="4" customWidth="1"/>
    <col min="10757" max="10757" width="9.7109375" style="4" customWidth="1"/>
    <col min="10758" max="10758" width="13.28515625" style="4" customWidth="1"/>
    <col min="10759" max="10759" width="12.7109375" style="4" customWidth="1"/>
    <col min="10760" max="10760" width="8.28515625" style="4" customWidth="1"/>
    <col min="10761" max="10761" width="19.28515625" style="4" customWidth="1"/>
    <col min="10762" max="10762" width="12.7109375" style="4" customWidth="1"/>
    <col min="10763" max="10763" width="10" style="4" customWidth="1"/>
    <col min="10764" max="10764" width="10.140625" style="4" customWidth="1"/>
    <col min="10765" max="11008" width="11.42578125" style="4"/>
    <col min="11009" max="11009" width="5" style="4" customWidth="1"/>
    <col min="11010" max="11010" width="55.28515625" style="4" customWidth="1"/>
    <col min="11011" max="11011" width="96.28515625" style="4" bestFit="1" customWidth="1"/>
    <col min="11012" max="11012" width="6.7109375" style="4" customWidth="1"/>
    <col min="11013" max="11013" width="9.7109375" style="4" customWidth="1"/>
    <col min="11014" max="11014" width="13.28515625" style="4" customWidth="1"/>
    <col min="11015" max="11015" width="12.7109375" style="4" customWidth="1"/>
    <col min="11016" max="11016" width="8.28515625" style="4" customWidth="1"/>
    <col min="11017" max="11017" width="19.28515625" style="4" customWidth="1"/>
    <col min="11018" max="11018" width="12.7109375" style="4" customWidth="1"/>
    <col min="11019" max="11019" width="10" style="4" customWidth="1"/>
    <col min="11020" max="11020" width="10.140625" style="4" customWidth="1"/>
    <col min="11021" max="11264" width="11.42578125" style="4"/>
    <col min="11265" max="11265" width="5" style="4" customWidth="1"/>
    <col min="11266" max="11266" width="55.28515625" style="4" customWidth="1"/>
    <col min="11267" max="11267" width="96.28515625" style="4" bestFit="1" customWidth="1"/>
    <col min="11268" max="11268" width="6.7109375" style="4" customWidth="1"/>
    <col min="11269" max="11269" width="9.7109375" style="4" customWidth="1"/>
    <col min="11270" max="11270" width="13.28515625" style="4" customWidth="1"/>
    <col min="11271" max="11271" width="12.7109375" style="4" customWidth="1"/>
    <col min="11272" max="11272" width="8.28515625" style="4" customWidth="1"/>
    <col min="11273" max="11273" width="19.28515625" style="4" customWidth="1"/>
    <col min="11274" max="11274" width="12.7109375" style="4" customWidth="1"/>
    <col min="11275" max="11275" width="10" style="4" customWidth="1"/>
    <col min="11276" max="11276" width="10.140625" style="4" customWidth="1"/>
    <col min="11277" max="11520" width="11.42578125" style="4"/>
    <col min="11521" max="11521" width="5" style="4" customWidth="1"/>
    <col min="11522" max="11522" width="55.28515625" style="4" customWidth="1"/>
    <col min="11523" max="11523" width="96.28515625" style="4" bestFit="1" customWidth="1"/>
    <col min="11524" max="11524" width="6.7109375" style="4" customWidth="1"/>
    <col min="11525" max="11525" width="9.7109375" style="4" customWidth="1"/>
    <col min="11526" max="11526" width="13.28515625" style="4" customWidth="1"/>
    <col min="11527" max="11527" width="12.7109375" style="4" customWidth="1"/>
    <col min="11528" max="11528" width="8.28515625" style="4" customWidth="1"/>
    <col min="11529" max="11529" width="19.28515625" style="4" customWidth="1"/>
    <col min="11530" max="11530" width="12.7109375" style="4" customWidth="1"/>
    <col min="11531" max="11531" width="10" style="4" customWidth="1"/>
    <col min="11532" max="11532" width="10.140625" style="4" customWidth="1"/>
    <col min="11533" max="11776" width="11.42578125" style="4"/>
    <col min="11777" max="11777" width="5" style="4" customWidth="1"/>
    <col min="11778" max="11778" width="55.28515625" style="4" customWidth="1"/>
    <col min="11779" max="11779" width="96.28515625" style="4" bestFit="1" customWidth="1"/>
    <col min="11780" max="11780" width="6.7109375" style="4" customWidth="1"/>
    <col min="11781" max="11781" width="9.7109375" style="4" customWidth="1"/>
    <col min="11782" max="11782" width="13.28515625" style="4" customWidth="1"/>
    <col min="11783" max="11783" width="12.7109375" style="4" customWidth="1"/>
    <col min="11784" max="11784" width="8.28515625" style="4" customWidth="1"/>
    <col min="11785" max="11785" width="19.28515625" style="4" customWidth="1"/>
    <col min="11786" max="11786" width="12.7109375" style="4" customWidth="1"/>
    <col min="11787" max="11787" width="10" style="4" customWidth="1"/>
    <col min="11788" max="11788" width="10.140625" style="4" customWidth="1"/>
    <col min="11789" max="12032" width="11.42578125" style="4"/>
    <col min="12033" max="12033" width="5" style="4" customWidth="1"/>
    <col min="12034" max="12034" width="55.28515625" style="4" customWidth="1"/>
    <col min="12035" max="12035" width="96.28515625" style="4" bestFit="1" customWidth="1"/>
    <col min="12036" max="12036" width="6.7109375" style="4" customWidth="1"/>
    <col min="12037" max="12037" width="9.7109375" style="4" customWidth="1"/>
    <col min="12038" max="12038" width="13.28515625" style="4" customWidth="1"/>
    <col min="12039" max="12039" width="12.7109375" style="4" customWidth="1"/>
    <col min="12040" max="12040" width="8.28515625" style="4" customWidth="1"/>
    <col min="12041" max="12041" width="19.28515625" style="4" customWidth="1"/>
    <col min="12042" max="12042" width="12.7109375" style="4" customWidth="1"/>
    <col min="12043" max="12043" width="10" style="4" customWidth="1"/>
    <col min="12044" max="12044" width="10.140625" style="4" customWidth="1"/>
    <col min="12045" max="12288" width="11.42578125" style="4"/>
    <col min="12289" max="12289" width="5" style="4" customWidth="1"/>
    <col min="12290" max="12290" width="55.28515625" style="4" customWidth="1"/>
    <col min="12291" max="12291" width="96.28515625" style="4" bestFit="1" customWidth="1"/>
    <col min="12292" max="12292" width="6.7109375" style="4" customWidth="1"/>
    <col min="12293" max="12293" width="9.7109375" style="4" customWidth="1"/>
    <col min="12294" max="12294" width="13.28515625" style="4" customWidth="1"/>
    <col min="12295" max="12295" width="12.7109375" style="4" customWidth="1"/>
    <col min="12296" max="12296" width="8.28515625" style="4" customWidth="1"/>
    <col min="12297" max="12297" width="19.28515625" style="4" customWidth="1"/>
    <col min="12298" max="12298" width="12.7109375" style="4" customWidth="1"/>
    <col min="12299" max="12299" width="10" style="4" customWidth="1"/>
    <col min="12300" max="12300" width="10.140625" style="4" customWidth="1"/>
    <col min="12301" max="12544" width="11.42578125" style="4"/>
    <col min="12545" max="12545" width="5" style="4" customWidth="1"/>
    <col min="12546" max="12546" width="55.28515625" style="4" customWidth="1"/>
    <col min="12547" max="12547" width="96.28515625" style="4" bestFit="1" customWidth="1"/>
    <col min="12548" max="12548" width="6.7109375" style="4" customWidth="1"/>
    <col min="12549" max="12549" width="9.7109375" style="4" customWidth="1"/>
    <col min="12550" max="12550" width="13.28515625" style="4" customWidth="1"/>
    <col min="12551" max="12551" width="12.7109375" style="4" customWidth="1"/>
    <col min="12552" max="12552" width="8.28515625" style="4" customWidth="1"/>
    <col min="12553" max="12553" width="19.28515625" style="4" customWidth="1"/>
    <col min="12554" max="12554" width="12.7109375" style="4" customWidth="1"/>
    <col min="12555" max="12555" width="10" style="4" customWidth="1"/>
    <col min="12556" max="12556" width="10.140625" style="4" customWidth="1"/>
    <col min="12557" max="12800" width="11.42578125" style="4"/>
    <col min="12801" max="12801" width="5" style="4" customWidth="1"/>
    <col min="12802" max="12802" width="55.28515625" style="4" customWidth="1"/>
    <col min="12803" max="12803" width="96.28515625" style="4" bestFit="1" customWidth="1"/>
    <col min="12804" max="12804" width="6.7109375" style="4" customWidth="1"/>
    <col min="12805" max="12805" width="9.7109375" style="4" customWidth="1"/>
    <col min="12806" max="12806" width="13.28515625" style="4" customWidth="1"/>
    <col min="12807" max="12807" width="12.7109375" style="4" customWidth="1"/>
    <col min="12808" max="12808" width="8.28515625" style="4" customWidth="1"/>
    <col min="12809" max="12809" width="19.28515625" style="4" customWidth="1"/>
    <col min="12810" max="12810" width="12.7109375" style="4" customWidth="1"/>
    <col min="12811" max="12811" width="10" style="4" customWidth="1"/>
    <col min="12812" max="12812" width="10.140625" style="4" customWidth="1"/>
    <col min="12813" max="13056" width="11.42578125" style="4"/>
    <col min="13057" max="13057" width="5" style="4" customWidth="1"/>
    <col min="13058" max="13058" width="55.28515625" style="4" customWidth="1"/>
    <col min="13059" max="13059" width="96.28515625" style="4" bestFit="1" customWidth="1"/>
    <col min="13060" max="13060" width="6.7109375" style="4" customWidth="1"/>
    <col min="13061" max="13061" width="9.7109375" style="4" customWidth="1"/>
    <col min="13062" max="13062" width="13.28515625" style="4" customWidth="1"/>
    <col min="13063" max="13063" width="12.7109375" style="4" customWidth="1"/>
    <col min="13064" max="13064" width="8.28515625" style="4" customWidth="1"/>
    <col min="13065" max="13065" width="19.28515625" style="4" customWidth="1"/>
    <col min="13066" max="13066" width="12.7109375" style="4" customWidth="1"/>
    <col min="13067" max="13067" width="10" style="4" customWidth="1"/>
    <col min="13068" max="13068" width="10.140625" style="4" customWidth="1"/>
    <col min="13069" max="13312" width="11.42578125" style="4"/>
    <col min="13313" max="13313" width="5" style="4" customWidth="1"/>
    <col min="13314" max="13314" width="55.28515625" style="4" customWidth="1"/>
    <col min="13315" max="13315" width="96.28515625" style="4" bestFit="1" customWidth="1"/>
    <col min="13316" max="13316" width="6.7109375" style="4" customWidth="1"/>
    <col min="13317" max="13317" width="9.7109375" style="4" customWidth="1"/>
    <col min="13318" max="13318" width="13.28515625" style="4" customWidth="1"/>
    <col min="13319" max="13319" width="12.7109375" style="4" customWidth="1"/>
    <col min="13320" max="13320" width="8.28515625" style="4" customWidth="1"/>
    <col min="13321" max="13321" width="19.28515625" style="4" customWidth="1"/>
    <col min="13322" max="13322" width="12.7109375" style="4" customWidth="1"/>
    <col min="13323" max="13323" width="10" style="4" customWidth="1"/>
    <col min="13324" max="13324" width="10.140625" style="4" customWidth="1"/>
    <col min="13325" max="13568" width="11.42578125" style="4"/>
    <col min="13569" max="13569" width="5" style="4" customWidth="1"/>
    <col min="13570" max="13570" width="55.28515625" style="4" customWidth="1"/>
    <col min="13571" max="13571" width="96.28515625" style="4" bestFit="1" customWidth="1"/>
    <col min="13572" max="13572" width="6.7109375" style="4" customWidth="1"/>
    <col min="13573" max="13573" width="9.7109375" style="4" customWidth="1"/>
    <col min="13574" max="13574" width="13.28515625" style="4" customWidth="1"/>
    <col min="13575" max="13575" width="12.7109375" style="4" customWidth="1"/>
    <col min="13576" max="13576" width="8.28515625" style="4" customWidth="1"/>
    <col min="13577" max="13577" width="19.28515625" style="4" customWidth="1"/>
    <col min="13578" max="13578" width="12.7109375" style="4" customWidth="1"/>
    <col min="13579" max="13579" width="10" style="4" customWidth="1"/>
    <col min="13580" max="13580" width="10.140625" style="4" customWidth="1"/>
    <col min="13581" max="13824" width="11.42578125" style="4"/>
    <col min="13825" max="13825" width="5" style="4" customWidth="1"/>
    <col min="13826" max="13826" width="55.28515625" style="4" customWidth="1"/>
    <col min="13827" max="13827" width="96.28515625" style="4" bestFit="1" customWidth="1"/>
    <col min="13828" max="13828" width="6.7109375" style="4" customWidth="1"/>
    <col min="13829" max="13829" width="9.7109375" style="4" customWidth="1"/>
    <col min="13830" max="13830" width="13.28515625" style="4" customWidth="1"/>
    <col min="13831" max="13831" width="12.7109375" style="4" customWidth="1"/>
    <col min="13832" max="13832" width="8.28515625" style="4" customWidth="1"/>
    <col min="13833" max="13833" width="19.28515625" style="4" customWidth="1"/>
    <col min="13834" max="13834" width="12.7109375" style="4" customWidth="1"/>
    <col min="13835" max="13835" width="10" style="4" customWidth="1"/>
    <col min="13836" max="13836" width="10.140625" style="4" customWidth="1"/>
    <col min="13837" max="14080" width="11.42578125" style="4"/>
    <col min="14081" max="14081" width="5" style="4" customWidth="1"/>
    <col min="14082" max="14082" width="55.28515625" style="4" customWidth="1"/>
    <col min="14083" max="14083" width="96.28515625" style="4" bestFit="1" customWidth="1"/>
    <col min="14084" max="14084" width="6.7109375" style="4" customWidth="1"/>
    <col min="14085" max="14085" width="9.7109375" style="4" customWidth="1"/>
    <col min="14086" max="14086" width="13.28515625" style="4" customWidth="1"/>
    <col min="14087" max="14087" width="12.7109375" style="4" customWidth="1"/>
    <col min="14088" max="14088" width="8.28515625" style="4" customWidth="1"/>
    <col min="14089" max="14089" width="19.28515625" style="4" customWidth="1"/>
    <col min="14090" max="14090" width="12.7109375" style="4" customWidth="1"/>
    <col min="14091" max="14091" width="10" style="4" customWidth="1"/>
    <col min="14092" max="14092" width="10.140625" style="4" customWidth="1"/>
    <col min="14093" max="14336" width="11.42578125" style="4"/>
    <col min="14337" max="14337" width="5" style="4" customWidth="1"/>
    <col min="14338" max="14338" width="55.28515625" style="4" customWidth="1"/>
    <col min="14339" max="14339" width="96.28515625" style="4" bestFit="1" customWidth="1"/>
    <col min="14340" max="14340" width="6.7109375" style="4" customWidth="1"/>
    <col min="14341" max="14341" width="9.7109375" style="4" customWidth="1"/>
    <col min="14342" max="14342" width="13.28515625" style="4" customWidth="1"/>
    <col min="14343" max="14343" width="12.7109375" style="4" customWidth="1"/>
    <col min="14344" max="14344" width="8.28515625" style="4" customWidth="1"/>
    <col min="14345" max="14345" width="19.28515625" style="4" customWidth="1"/>
    <col min="14346" max="14346" width="12.7109375" style="4" customWidth="1"/>
    <col min="14347" max="14347" width="10" style="4" customWidth="1"/>
    <col min="14348" max="14348" width="10.140625" style="4" customWidth="1"/>
    <col min="14349" max="14592" width="11.42578125" style="4"/>
    <col min="14593" max="14593" width="5" style="4" customWidth="1"/>
    <col min="14594" max="14594" width="55.28515625" style="4" customWidth="1"/>
    <col min="14595" max="14595" width="96.28515625" style="4" bestFit="1" customWidth="1"/>
    <col min="14596" max="14596" width="6.7109375" style="4" customWidth="1"/>
    <col min="14597" max="14597" width="9.7109375" style="4" customWidth="1"/>
    <col min="14598" max="14598" width="13.28515625" style="4" customWidth="1"/>
    <col min="14599" max="14599" width="12.7109375" style="4" customWidth="1"/>
    <col min="14600" max="14600" width="8.28515625" style="4" customWidth="1"/>
    <col min="14601" max="14601" width="19.28515625" style="4" customWidth="1"/>
    <col min="14602" max="14602" width="12.7109375" style="4" customWidth="1"/>
    <col min="14603" max="14603" width="10" style="4" customWidth="1"/>
    <col min="14604" max="14604" width="10.140625" style="4" customWidth="1"/>
    <col min="14605" max="14848" width="11.42578125" style="4"/>
    <col min="14849" max="14849" width="5" style="4" customWidth="1"/>
    <col min="14850" max="14850" width="55.28515625" style="4" customWidth="1"/>
    <col min="14851" max="14851" width="96.28515625" style="4" bestFit="1" customWidth="1"/>
    <col min="14852" max="14852" width="6.7109375" style="4" customWidth="1"/>
    <col min="14853" max="14853" width="9.7109375" style="4" customWidth="1"/>
    <col min="14854" max="14854" width="13.28515625" style="4" customWidth="1"/>
    <col min="14855" max="14855" width="12.7109375" style="4" customWidth="1"/>
    <col min="14856" max="14856" width="8.28515625" style="4" customWidth="1"/>
    <col min="14857" max="14857" width="19.28515625" style="4" customWidth="1"/>
    <col min="14858" max="14858" width="12.7109375" style="4" customWidth="1"/>
    <col min="14859" max="14859" width="10" style="4" customWidth="1"/>
    <col min="14860" max="14860" width="10.140625" style="4" customWidth="1"/>
    <col min="14861" max="15104" width="11.42578125" style="4"/>
    <col min="15105" max="15105" width="5" style="4" customWidth="1"/>
    <col min="15106" max="15106" width="55.28515625" style="4" customWidth="1"/>
    <col min="15107" max="15107" width="96.28515625" style="4" bestFit="1" customWidth="1"/>
    <col min="15108" max="15108" width="6.7109375" style="4" customWidth="1"/>
    <col min="15109" max="15109" width="9.7109375" style="4" customWidth="1"/>
    <col min="15110" max="15110" width="13.28515625" style="4" customWidth="1"/>
    <col min="15111" max="15111" width="12.7109375" style="4" customWidth="1"/>
    <col min="15112" max="15112" width="8.28515625" style="4" customWidth="1"/>
    <col min="15113" max="15113" width="19.28515625" style="4" customWidth="1"/>
    <col min="15114" max="15114" width="12.7109375" style="4" customWidth="1"/>
    <col min="15115" max="15115" width="10" style="4" customWidth="1"/>
    <col min="15116" max="15116" width="10.140625" style="4" customWidth="1"/>
    <col min="15117" max="15360" width="11.42578125" style="4"/>
    <col min="15361" max="15361" width="5" style="4" customWidth="1"/>
    <col min="15362" max="15362" width="55.28515625" style="4" customWidth="1"/>
    <col min="15363" max="15363" width="96.28515625" style="4" bestFit="1" customWidth="1"/>
    <col min="15364" max="15364" width="6.7109375" style="4" customWidth="1"/>
    <col min="15365" max="15365" width="9.7109375" style="4" customWidth="1"/>
    <col min="15366" max="15366" width="13.28515625" style="4" customWidth="1"/>
    <col min="15367" max="15367" width="12.7109375" style="4" customWidth="1"/>
    <col min="15368" max="15368" width="8.28515625" style="4" customWidth="1"/>
    <col min="15369" max="15369" width="19.28515625" style="4" customWidth="1"/>
    <col min="15370" max="15370" width="12.7109375" style="4" customWidth="1"/>
    <col min="15371" max="15371" width="10" style="4" customWidth="1"/>
    <col min="15372" max="15372" width="10.140625" style="4" customWidth="1"/>
    <col min="15373" max="15616" width="11.42578125" style="4"/>
    <col min="15617" max="15617" width="5" style="4" customWidth="1"/>
    <col min="15618" max="15618" width="55.28515625" style="4" customWidth="1"/>
    <col min="15619" max="15619" width="96.28515625" style="4" bestFit="1" customWidth="1"/>
    <col min="15620" max="15620" width="6.7109375" style="4" customWidth="1"/>
    <col min="15621" max="15621" width="9.7109375" style="4" customWidth="1"/>
    <col min="15622" max="15622" width="13.28515625" style="4" customWidth="1"/>
    <col min="15623" max="15623" width="12.7109375" style="4" customWidth="1"/>
    <col min="15624" max="15624" width="8.28515625" style="4" customWidth="1"/>
    <col min="15625" max="15625" width="19.28515625" style="4" customWidth="1"/>
    <col min="15626" max="15626" width="12.7109375" style="4" customWidth="1"/>
    <col min="15627" max="15627" width="10" style="4" customWidth="1"/>
    <col min="15628" max="15628" width="10.140625" style="4" customWidth="1"/>
    <col min="15629" max="15872" width="11.42578125" style="4"/>
    <col min="15873" max="15873" width="5" style="4" customWidth="1"/>
    <col min="15874" max="15874" width="55.28515625" style="4" customWidth="1"/>
    <col min="15875" max="15875" width="96.28515625" style="4" bestFit="1" customWidth="1"/>
    <col min="15876" max="15876" width="6.7109375" style="4" customWidth="1"/>
    <col min="15877" max="15877" width="9.7109375" style="4" customWidth="1"/>
    <col min="15878" max="15878" width="13.28515625" style="4" customWidth="1"/>
    <col min="15879" max="15879" width="12.7109375" style="4" customWidth="1"/>
    <col min="15880" max="15880" width="8.28515625" style="4" customWidth="1"/>
    <col min="15881" max="15881" width="19.28515625" style="4" customWidth="1"/>
    <col min="15882" max="15882" width="12.7109375" style="4" customWidth="1"/>
    <col min="15883" max="15883" width="10" style="4" customWidth="1"/>
    <col min="15884" max="15884" width="10.140625" style="4" customWidth="1"/>
    <col min="15885" max="16128" width="11.42578125" style="4"/>
    <col min="16129" max="16129" width="5" style="4" customWidth="1"/>
    <col min="16130" max="16130" width="55.28515625" style="4" customWidth="1"/>
    <col min="16131" max="16131" width="96.28515625" style="4" bestFit="1" customWidth="1"/>
    <col min="16132" max="16132" width="6.7109375" style="4" customWidth="1"/>
    <col min="16133" max="16133" width="9.7109375" style="4" customWidth="1"/>
    <col min="16134" max="16134" width="13.28515625" style="4" customWidth="1"/>
    <col min="16135" max="16135" width="12.7109375" style="4" customWidth="1"/>
    <col min="16136" max="16136" width="8.28515625" style="4" customWidth="1"/>
    <col min="16137" max="16137" width="19.28515625" style="4" customWidth="1"/>
    <col min="16138" max="16138" width="12.7109375" style="4" customWidth="1"/>
    <col min="16139" max="16139" width="10" style="4" customWidth="1"/>
    <col min="16140" max="16140" width="10.140625" style="4" customWidth="1"/>
    <col min="16141" max="16384" width="11.42578125" style="4"/>
  </cols>
  <sheetData>
    <row r="1" spans="1:13" ht="19.899999999999999" customHeight="1" thickTop="1">
      <c r="A1" s="67" t="s">
        <v>16</v>
      </c>
      <c r="B1" s="3"/>
      <c r="C1" s="4"/>
      <c r="D1" s="69" t="s">
        <v>17</v>
      </c>
      <c r="E1" s="70"/>
      <c r="F1" s="70"/>
      <c r="G1" s="70"/>
      <c r="H1" s="70"/>
      <c r="I1" s="70"/>
      <c r="J1" s="70"/>
      <c r="K1" s="70"/>
      <c r="L1" s="47"/>
    </row>
    <row r="2" spans="1:13" ht="15.4" customHeight="1">
      <c r="A2" s="67"/>
      <c r="B2" s="3"/>
      <c r="C2" s="4"/>
      <c r="D2" s="71" t="s">
        <v>18</v>
      </c>
      <c r="E2" s="72"/>
      <c r="F2" s="72"/>
      <c r="G2" s="72"/>
      <c r="H2" s="72"/>
      <c r="I2" s="72"/>
      <c r="J2" s="72"/>
      <c r="K2" s="72"/>
      <c r="L2" s="46"/>
    </row>
    <row r="3" spans="1:13" ht="15.4" customHeight="1">
      <c r="A3" s="67"/>
      <c r="B3" s="3"/>
      <c r="C3" s="4"/>
      <c r="D3" s="73"/>
      <c r="E3" s="72"/>
      <c r="F3" s="72"/>
      <c r="G3" s="72"/>
      <c r="H3" s="72"/>
      <c r="I3" s="72"/>
      <c r="J3" s="72"/>
      <c r="K3" s="72"/>
      <c r="L3" s="46"/>
    </row>
    <row r="4" spans="1:13" ht="15.4" customHeight="1">
      <c r="A4" s="67"/>
      <c r="B4" s="3"/>
      <c r="C4" s="4"/>
      <c r="D4" s="74" t="s">
        <v>19</v>
      </c>
      <c r="E4" s="75"/>
      <c r="F4" s="75"/>
      <c r="G4" s="75"/>
      <c r="H4" s="75"/>
      <c r="I4" s="75"/>
      <c r="J4" s="75"/>
      <c r="K4" s="75"/>
      <c r="L4" s="47"/>
    </row>
    <row r="5" spans="1:13" ht="15.4" customHeight="1" thickBot="1">
      <c r="A5" s="68"/>
      <c r="B5" s="3"/>
      <c r="C5" s="4"/>
      <c r="D5" s="76"/>
      <c r="E5" s="77"/>
      <c r="F5" s="77"/>
      <c r="G5" s="77"/>
      <c r="H5" s="77"/>
      <c r="I5" s="77"/>
      <c r="J5" s="77"/>
      <c r="K5" s="77"/>
      <c r="L5" s="47"/>
    </row>
    <row r="6" spans="1:13" s="9" customFormat="1" ht="13.5" customHeight="1" thickTop="1">
      <c r="A6" s="5" t="s">
        <v>20</v>
      </c>
      <c r="B6" s="6" t="s">
        <v>21</v>
      </c>
      <c r="C6" s="6" t="s">
        <v>22</v>
      </c>
      <c r="D6" s="7" t="s">
        <v>23</v>
      </c>
      <c r="E6" s="7" t="s">
        <v>24</v>
      </c>
      <c r="F6" s="8" t="s">
        <v>25</v>
      </c>
      <c r="G6" s="7" t="s">
        <v>26</v>
      </c>
      <c r="H6" s="7" t="s">
        <v>27</v>
      </c>
      <c r="I6" s="7" t="s">
        <v>28</v>
      </c>
      <c r="J6" s="7" t="s">
        <v>29</v>
      </c>
      <c r="K6" s="7" t="s">
        <v>30</v>
      </c>
      <c r="L6" s="7" t="s">
        <v>2</v>
      </c>
      <c r="M6" s="48" t="s">
        <v>0</v>
      </c>
    </row>
    <row r="7" spans="1:13" ht="13.5" hidden="1" customHeight="1">
      <c r="A7" s="10"/>
      <c r="B7" s="11" t="s">
        <v>31</v>
      </c>
      <c r="C7" s="11"/>
      <c r="D7" s="11"/>
      <c r="E7" s="12"/>
      <c r="F7" s="11"/>
      <c r="G7" s="11"/>
      <c r="H7" s="12"/>
      <c r="I7" s="12"/>
      <c r="J7" s="11"/>
      <c r="K7" s="13"/>
      <c r="L7" s="13"/>
      <c r="M7" s="49"/>
    </row>
    <row r="8" spans="1:13" ht="30.95" hidden="1" customHeight="1">
      <c r="A8" s="14">
        <f t="shared" ref="A8:A96" si="0">ROW()-7</f>
        <v>1</v>
      </c>
      <c r="B8" s="15" t="s">
        <v>32</v>
      </c>
      <c r="C8" s="15"/>
      <c r="D8" s="2" t="s">
        <v>33</v>
      </c>
      <c r="E8" s="16" t="s">
        <v>34</v>
      </c>
      <c r="F8" s="17">
        <v>45334</v>
      </c>
      <c r="G8" s="18" t="s">
        <v>35</v>
      </c>
      <c r="H8" s="18" t="s">
        <v>36</v>
      </c>
      <c r="I8" s="19" t="s">
        <v>34</v>
      </c>
      <c r="J8" s="18" t="s">
        <v>37</v>
      </c>
      <c r="K8" s="19"/>
      <c r="L8" s="14" t="s">
        <v>38</v>
      </c>
      <c r="M8" s="49"/>
    </row>
    <row r="9" spans="1:13" ht="13.5" hidden="1" customHeight="1">
      <c r="A9" s="14">
        <f t="shared" si="0"/>
        <v>2</v>
      </c>
      <c r="B9" s="15" t="s">
        <v>39</v>
      </c>
      <c r="C9" s="15"/>
      <c r="D9" s="2" t="s">
        <v>40</v>
      </c>
      <c r="E9" s="16">
        <v>0</v>
      </c>
      <c r="F9" s="17">
        <v>45334</v>
      </c>
      <c r="G9" s="18" t="s">
        <v>41</v>
      </c>
      <c r="H9" s="18" t="s">
        <v>36</v>
      </c>
      <c r="I9" s="19" t="s">
        <v>34</v>
      </c>
      <c r="J9" s="18" t="s">
        <v>42</v>
      </c>
      <c r="K9" s="19"/>
      <c r="L9" s="14" t="s">
        <v>38</v>
      </c>
      <c r="M9" s="49"/>
    </row>
    <row r="10" spans="1:13" ht="13.5" hidden="1" customHeight="1">
      <c r="A10" s="14">
        <f t="shared" si="0"/>
        <v>3</v>
      </c>
      <c r="B10" s="15" t="s">
        <v>43</v>
      </c>
      <c r="C10" s="15"/>
      <c r="D10" s="2" t="s">
        <v>44</v>
      </c>
      <c r="E10" s="16">
        <v>0</v>
      </c>
      <c r="F10" s="17">
        <v>45334</v>
      </c>
      <c r="G10" s="18" t="s">
        <v>41</v>
      </c>
      <c r="H10" s="18" t="s">
        <v>36</v>
      </c>
      <c r="I10" s="19" t="s">
        <v>34</v>
      </c>
      <c r="J10" s="18" t="s">
        <v>42</v>
      </c>
      <c r="K10" s="19"/>
      <c r="L10" s="14" t="s">
        <v>38</v>
      </c>
      <c r="M10" s="49"/>
    </row>
    <row r="11" spans="1:13" ht="13.5" hidden="1" customHeight="1">
      <c r="A11" s="14">
        <f t="shared" si="0"/>
        <v>4</v>
      </c>
      <c r="B11" s="15" t="s">
        <v>45</v>
      </c>
      <c r="C11" s="15"/>
      <c r="D11" s="2" t="s">
        <v>46</v>
      </c>
      <c r="E11" s="16">
        <v>0</v>
      </c>
      <c r="F11" s="17">
        <v>45334</v>
      </c>
      <c r="G11" s="18" t="s">
        <v>41</v>
      </c>
      <c r="H11" s="18" t="s">
        <v>36</v>
      </c>
      <c r="I11" s="19" t="s">
        <v>34</v>
      </c>
      <c r="J11" s="18" t="s">
        <v>42</v>
      </c>
      <c r="K11" s="19"/>
      <c r="L11" s="14" t="s">
        <v>38</v>
      </c>
      <c r="M11" s="49"/>
    </row>
    <row r="12" spans="1:13" ht="13.5" hidden="1" customHeight="1">
      <c r="A12" s="20">
        <f t="shared" si="0"/>
        <v>5</v>
      </c>
      <c r="B12" s="21" t="s">
        <v>47</v>
      </c>
      <c r="C12" s="21"/>
      <c r="D12" s="1" t="s">
        <v>48</v>
      </c>
      <c r="E12" s="22">
        <v>0</v>
      </c>
      <c r="F12" s="23">
        <v>45334</v>
      </c>
      <c r="G12" s="24" t="s">
        <v>41</v>
      </c>
      <c r="H12" s="24" t="s">
        <v>49</v>
      </c>
      <c r="I12" s="25" t="s">
        <v>34</v>
      </c>
      <c r="J12" s="24" t="s">
        <v>42</v>
      </c>
      <c r="K12" s="25"/>
      <c r="L12" s="14" t="s">
        <v>38</v>
      </c>
      <c r="M12" s="49"/>
    </row>
    <row r="13" spans="1:13" ht="13.5" hidden="1" customHeight="1">
      <c r="A13" s="14">
        <f t="shared" si="0"/>
        <v>6</v>
      </c>
      <c r="B13" s="15" t="s">
        <v>50</v>
      </c>
      <c r="C13" s="15"/>
      <c r="D13" s="2" t="s">
        <v>51</v>
      </c>
      <c r="E13" s="16">
        <v>0</v>
      </c>
      <c r="F13" s="17">
        <v>45334</v>
      </c>
      <c r="G13" s="18" t="s">
        <v>41</v>
      </c>
      <c r="H13" s="18" t="s">
        <v>36</v>
      </c>
      <c r="I13" s="19" t="s">
        <v>34</v>
      </c>
      <c r="J13" s="18" t="s">
        <v>42</v>
      </c>
      <c r="K13" s="19"/>
      <c r="L13" s="14" t="s">
        <v>38</v>
      </c>
      <c r="M13" s="49"/>
    </row>
    <row r="14" spans="1:13" ht="13.5" hidden="1" customHeight="1">
      <c r="A14" s="14">
        <f t="shared" si="0"/>
        <v>7</v>
      </c>
      <c r="B14" s="15" t="s">
        <v>52</v>
      </c>
      <c r="C14" s="15"/>
      <c r="D14" s="2" t="s">
        <v>53</v>
      </c>
      <c r="E14" s="16">
        <v>0</v>
      </c>
      <c r="F14" s="17">
        <v>45334</v>
      </c>
      <c r="G14" s="18" t="s">
        <v>41</v>
      </c>
      <c r="H14" s="18" t="s">
        <v>36</v>
      </c>
      <c r="I14" s="19" t="s">
        <v>34</v>
      </c>
      <c r="J14" s="18" t="s">
        <v>42</v>
      </c>
      <c r="K14" s="19"/>
      <c r="L14" s="14" t="s">
        <v>38</v>
      </c>
      <c r="M14" s="49"/>
    </row>
    <row r="15" spans="1:13" ht="13.5" hidden="1" customHeight="1">
      <c r="A15" s="14">
        <f t="shared" si="0"/>
        <v>8</v>
      </c>
      <c r="B15" s="15" t="s">
        <v>54</v>
      </c>
      <c r="C15" s="15"/>
      <c r="D15" s="2" t="s">
        <v>55</v>
      </c>
      <c r="E15" s="16">
        <v>0</v>
      </c>
      <c r="F15" s="17">
        <v>45334</v>
      </c>
      <c r="G15" s="18" t="s">
        <v>41</v>
      </c>
      <c r="H15" s="18" t="s">
        <v>36</v>
      </c>
      <c r="I15" s="19" t="s">
        <v>34</v>
      </c>
      <c r="J15" s="18" t="s">
        <v>42</v>
      </c>
      <c r="K15" s="19"/>
      <c r="L15" s="14" t="s">
        <v>38</v>
      </c>
      <c r="M15" s="49"/>
    </row>
    <row r="16" spans="1:13" ht="13.5" hidden="1" customHeight="1">
      <c r="A16" s="14">
        <f t="shared" si="0"/>
        <v>9</v>
      </c>
      <c r="B16" s="15" t="s">
        <v>56</v>
      </c>
      <c r="C16" s="15"/>
      <c r="D16" s="2" t="s">
        <v>57</v>
      </c>
      <c r="E16" s="16">
        <v>0</v>
      </c>
      <c r="F16" s="17">
        <v>45334</v>
      </c>
      <c r="G16" s="18" t="s">
        <v>41</v>
      </c>
      <c r="H16" s="18" t="s">
        <v>36</v>
      </c>
      <c r="I16" s="19" t="s">
        <v>34</v>
      </c>
      <c r="J16" s="18" t="s">
        <v>42</v>
      </c>
      <c r="K16" s="19"/>
      <c r="L16" s="14" t="s">
        <v>38</v>
      </c>
      <c r="M16" s="49"/>
    </row>
    <row r="17" spans="1:13" ht="13.5" hidden="1" customHeight="1">
      <c r="A17" s="14">
        <f t="shared" si="0"/>
        <v>10</v>
      </c>
      <c r="B17" s="15" t="s">
        <v>58</v>
      </c>
      <c r="C17" s="15"/>
      <c r="D17" s="2" t="s">
        <v>59</v>
      </c>
      <c r="E17" s="16">
        <v>0</v>
      </c>
      <c r="F17" s="17">
        <v>45334</v>
      </c>
      <c r="G17" s="18" t="s">
        <v>41</v>
      </c>
      <c r="H17" s="18" t="s">
        <v>36</v>
      </c>
      <c r="I17" s="19" t="s">
        <v>34</v>
      </c>
      <c r="J17" s="18" t="s">
        <v>42</v>
      </c>
      <c r="K17" s="19"/>
      <c r="L17" s="14" t="s">
        <v>38</v>
      </c>
      <c r="M17" s="49"/>
    </row>
    <row r="18" spans="1:13" ht="13.5" hidden="1" customHeight="1">
      <c r="A18" s="14">
        <f t="shared" si="0"/>
        <v>11</v>
      </c>
      <c r="B18" s="15" t="s">
        <v>60</v>
      </c>
      <c r="C18" s="15"/>
      <c r="D18" s="2" t="s">
        <v>61</v>
      </c>
      <c r="E18" s="16">
        <v>0</v>
      </c>
      <c r="F18" s="17">
        <v>45334</v>
      </c>
      <c r="G18" s="18" t="s">
        <v>41</v>
      </c>
      <c r="H18" s="18" t="s">
        <v>36</v>
      </c>
      <c r="I18" s="19" t="s">
        <v>34</v>
      </c>
      <c r="J18" s="18" t="s">
        <v>42</v>
      </c>
      <c r="K18" s="19"/>
      <c r="L18" s="14" t="s">
        <v>38</v>
      </c>
      <c r="M18" s="49"/>
    </row>
    <row r="19" spans="1:13" ht="13.5" hidden="1" customHeight="1">
      <c r="A19" s="14">
        <f t="shared" si="0"/>
        <v>12</v>
      </c>
      <c r="B19" s="15" t="s">
        <v>62</v>
      </c>
      <c r="C19" s="15"/>
      <c r="D19" s="2" t="s">
        <v>63</v>
      </c>
      <c r="E19" s="16">
        <v>0</v>
      </c>
      <c r="F19" s="17">
        <v>45334</v>
      </c>
      <c r="G19" s="18" t="s">
        <v>64</v>
      </c>
      <c r="H19" s="18" t="s">
        <v>36</v>
      </c>
      <c r="I19" s="19">
        <v>139</v>
      </c>
      <c r="J19" s="18" t="s">
        <v>65</v>
      </c>
      <c r="K19" s="19"/>
      <c r="L19" s="14" t="s">
        <v>38</v>
      </c>
      <c r="M19" s="49"/>
    </row>
    <row r="20" spans="1:13" ht="13.5" hidden="1" customHeight="1">
      <c r="A20" s="14">
        <f t="shared" si="0"/>
        <v>13</v>
      </c>
      <c r="B20" s="15" t="s">
        <v>66</v>
      </c>
      <c r="C20" s="15"/>
      <c r="D20" s="2" t="s">
        <v>67</v>
      </c>
      <c r="E20" s="16">
        <v>0</v>
      </c>
      <c r="F20" s="17">
        <v>45334</v>
      </c>
      <c r="G20" s="18" t="s">
        <v>41</v>
      </c>
      <c r="H20" s="18" t="s">
        <v>36</v>
      </c>
      <c r="I20" s="19" t="s">
        <v>34</v>
      </c>
      <c r="J20" s="18" t="s">
        <v>68</v>
      </c>
      <c r="K20" s="19"/>
      <c r="L20" s="14" t="s">
        <v>38</v>
      </c>
      <c r="M20" s="49"/>
    </row>
    <row r="21" spans="1:13" ht="13.5" hidden="1" customHeight="1">
      <c r="A21" s="20">
        <f t="shared" si="0"/>
        <v>14</v>
      </c>
      <c r="B21" s="21" t="s">
        <v>69</v>
      </c>
      <c r="C21" s="21"/>
      <c r="D21" s="1" t="s">
        <v>70</v>
      </c>
      <c r="E21" s="22">
        <v>0</v>
      </c>
      <c r="F21" s="23">
        <v>45334</v>
      </c>
      <c r="G21" s="24" t="s">
        <v>41</v>
      </c>
      <c r="H21" s="24" t="s">
        <v>49</v>
      </c>
      <c r="I21" s="25" t="s">
        <v>34</v>
      </c>
      <c r="J21" s="24" t="s">
        <v>68</v>
      </c>
      <c r="K21" s="25"/>
      <c r="L21" s="14" t="s">
        <v>38</v>
      </c>
      <c r="M21" s="49"/>
    </row>
    <row r="22" spans="1:13" ht="13.5" hidden="1" customHeight="1">
      <c r="A22" s="20">
        <f t="shared" si="0"/>
        <v>15</v>
      </c>
      <c r="B22" s="21" t="s">
        <v>71</v>
      </c>
      <c r="C22" s="21"/>
      <c r="D22" s="1" t="s">
        <v>72</v>
      </c>
      <c r="E22" s="22">
        <v>0</v>
      </c>
      <c r="F22" s="23">
        <v>45334</v>
      </c>
      <c r="G22" s="24" t="s">
        <v>41</v>
      </c>
      <c r="H22" s="24" t="s">
        <v>49</v>
      </c>
      <c r="I22" s="25" t="s">
        <v>34</v>
      </c>
      <c r="J22" s="24" t="s">
        <v>68</v>
      </c>
      <c r="K22" s="25"/>
      <c r="L22" s="14" t="s">
        <v>38</v>
      </c>
      <c r="M22" s="49"/>
    </row>
    <row r="23" spans="1:13" ht="13.5" hidden="1" customHeight="1">
      <c r="A23" s="14">
        <f t="shared" si="0"/>
        <v>16</v>
      </c>
      <c r="B23" s="15" t="s">
        <v>73</v>
      </c>
      <c r="C23" s="15"/>
      <c r="D23" s="2" t="s">
        <v>74</v>
      </c>
      <c r="E23" s="16">
        <v>0</v>
      </c>
      <c r="F23" s="17">
        <v>45334</v>
      </c>
      <c r="G23" s="18" t="s">
        <v>41</v>
      </c>
      <c r="H23" s="18" t="s">
        <v>36</v>
      </c>
      <c r="I23" s="19" t="s">
        <v>34</v>
      </c>
      <c r="J23" s="18" t="s">
        <v>68</v>
      </c>
      <c r="K23" s="19"/>
      <c r="L23" s="14" t="s">
        <v>38</v>
      </c>
      <c r="M23" s="49"/>
    </row>
    <row r="24" spans="1:13" ht="13.5" hidden="1" customHeight="1">
      <c r="A24" s="14">
        <f t="shared" si="0"/>
        <v>17</v>
      </c>
      <c r="B24" s="15" t="s">
        <v>75</v>
      </c>
      <c r="C24" s="15"/>
      <c r="D24" s="2" t="s">
        <v>76</v>
      </c>
      <c r="E24" s="16">
        <v>0</v>
      </c>
      <c r="F24" s="17">
        <v>45334</v>
      </c>
      <c r="G24" s="18" t="s">
        <v>41</v>
      </c>
      <c r="H24" s="18" t="s">
        <v>36</v>
      </c>
      <c r="I24" s="19" t="s">
        <v>34</v>
      </c>
      <c r="J24" s="18" t="s">
        <v>68</v>
      </c>
      <c r="K24" s="19"/>
      <c r="L24" s="14" t="s">
        <v>38</v>
      </c>
      <c r="M24" s="49"/>
    </row>
    <row r="25" spans="1:13" ht="13.5" hidden="1" customHeight="1">
      <c r="A25" s="14">
        <f t="shared" si="0"/>
        <v>18</v>
      </c>
      <c r="B25" s="15" t="s">
        <v>77</v>
      </c>
      <c r="C25" s="15"/>
      <c r="D25" s="2" t="s">
        <v>78</v>
      </c>
      <c r="E25" s="16">
        <v>0</v>
      </c>
      <c r="F25" s="17">
        <v>45334</v>
      </c>
      <c r="G25" s="18" t="s">
        <v>41</v>
      </c>
      <c r="H25" s="18" t="s">
        <v>36</v>
      </c>
      <c r="I25" s="19" t="s">
        <v>34</v>
      </c>
      <c r="J25" s="18" t="s">
        <v>68</v>
      </c>
      <c r="K25" s="19"/>
      <c r="L25" s="14" t="s">
        <v>38</v>
      </c>
      <c r="M25" s="49"/>
    </row>
    <row r="26" spans="1:13" ht="13.5" hidden="1" customHeight="1">
      <c r="A26" s="14">
        <f t="shared" si="0"/>
        <v>19</v>
      </c>
      <c r="B26" s="15" t="s">
        <v>79</v>
      </c>
      <c r="C26" s="15"/>
      <c r="D26" s="2" t="s">
        <v>80</v>
      </c>
      <c r="E26" s="16">
        <v>0</v>
      </c>
      <c r="F26" s="17">
        <v>45334</v>
      </c>
      <c r="G26" s="18" t="s">
        <v>41</v>
      </c>
      <c r="H26" s="18" t="s">
        <v>36</v>
      </c>
      <c r="I26" s="19" t="s">
        <v>34</v>
      </c>
      <c r="J26" s="18" t="s">
        <v>68</v>
      </c>
      <c r="K26" s="19"/>
      <c r="L26" s="14" t="s">
        <v>38</v>
      </c>
      <c r="M26" s="49"/>
    </row>
    <row r="27" spans="1:13" ht="13.5" hidden="1" customHeight="1">
      <c r="A27" s="14">
        <f t="shared" si="0"/>
        <v>20</v>
      </c>
      <c r="B27" s="15" t="s">
        <v>81</v>
      </c>
      <c r="C27" s="15"/>
      <c r="D27" s="15" t="s">
        <v>82</v>
      </c>
      <c r="E27" s="16">
        <v>0</v>
      </c>
      <c r="F27" s="17">
        <v>45334</v>
      </c>
      <c r="G27" s="18" t="s">
        <v>41</v>
      </c>
      <c r="H27" s="18" t="s">
        <v>36</v>
      </c>
      <c r="I27" s="19" t="s">
        <v>34</v>
      </c>
      <c r="J27" s="18" t="s">
        <v>68</v>
      </c>
      <c r="K27" s="19"/>
      <c r="L27" s="14" t="s">
        <v>38</v>
      </c>
      <c r="M27" s="49"/>
    </row>
    <row r="28" spans="1:13" ht="13.5" hidden="1" customHeight="1">
      <c r="A28" s="14">
        <f t="shared" si="0"/>
        <v>21</v>
      </c>
      <c r="B28" s="15" t="s">
        <v>83</v>
      </c>
      <c r="C28" s="15"/>
      <c r="D28" s="15" t="s">
        <v>84</v>
      </c>
      <c r="E28" s="16">
        <v>0</v>
      </c>
      <c r="F28" s="17">
        <v>45334</v>
      </c>
      <c r="G28" s="18" t="s">
        <v>41</v>
      </c>
      <c r="H28" s="18" t="s">
        <v>36</v>
      </c>
      <c r="I28" s="19" t="s">
        <v>34</v>
      </c>
      <c r="J28" s="18" t="s">
        <v>68</v>
      </c>
      <c r="K28" s="19"/>
      <c r="L28" s="14" t="s">
        <v>38</v>
      </c>
      <c r="M28" s="49"/>
    </row>
    <row r="29" spans="1:13" ht="13.5" hidden="1" customHeight="1">
      <c r="A29" s="14">
        <f t="shared" si="0"/>
        <v>22</v>
      </c>
      <c r="B29" s="15" t="s">
        <v>85</v>
      </c>
      <c r="C29" s="15"/>
      <c r="D29" s="15" t="s">
        <v>86</v>
      </c>
      <c r="E29" s="16">
        <v>0</v>
      </c>
      <c r="F29" s="17">
        <v>45334</v>
      </c>
      <c r="G29" s="18" t="s">
        <v>41</v>
      </c>
      <c r="H29" s="18" t="s">
        <v>36</v>
      </c>
      <c r="I29" s="19" t="s">
        <v>34</v>
      </c>
      <c r="J29" s="18" t="s">
        <v>68</v>
      </c>
      <c r="K29" s="19"/>
      <c r="L29" s="14" t="s">
        <v>38</v>
      </c>
      <c r="M29" s="49"/>
    </row>
    <row r="30" spans="1:13" ht="13.5" hidden="1" customHeight="1">
      <c r="A30" s="14">
        <f t="shared" si="0"/>
        <v>23</v>
      </c>
      <c r="B30" s="15" t="s">
        <v>87</v>
      </c>
      <c r="C30" s="15"/>
      <c r="D30" s="15" t="s">
        <v>88</v>
      </c>
      <c r="E30" s="16">
        <v>0</v>
      </c>
      <c r="F30" s="17">
        <v>45334</v>
      </c>
      <c r="G30" s="18" t="s">
        <v>41</v>
      </c>
      <c r="H30" s="18" t="s">
        <v>36</v>
      </c>
      <c r="I30" s="19" t="s">
        <v>34</v>
      </c>
      <c r="J30" s="18" t="s">
        <v>68</v>
      </c>
      <c r="K30" s="19"/>
      <c r="L30" s="14" t="s">
        <v>38</v>
      </c>
      <c r="M30" s="49"/>
    </row>
    <row r="31" spans="1:13" ht="13.5" hidden="1" customHeight="1">
      <c r="A31" s="14">
        <f t="shared" si="0"/>
        <v>24</v>
      </c>
      <c r="B31" s="15" t="s">
        <v>89</v>
      </c>
      <c r="C31" s="15"/>
      <c r="D31" s="2" t="s">
        <v>90</v>
      </c>
      <c r="E31" s="16" t="s">
        <v>34</v>
      </c>
      <c r="F31" s="17">
        <v>45334</v>
      </c>
      <c r="G31" s="18" t="s">
        <v>41</v>
      </c>
      <c r="H31" s="18" t="s">
        <v>36</v>
      </c>
      <c r="I31" s="19" t="s">
        <v>34</v>
      </c>
      <c r="J31" s="18" t="s">
        <v>91</v>
      </c>
      <c r="K31" s="19"/>
      <c r="L31" s="14" t="s">
        <v>38</v>
      </c>
      <c r="M31" s="49"/>
    </row>
    <row r="32" spans="1:13" ht="13.5" hidden="1" customHeight="1">
      <c r="A32" s="14">
        <f t="shared" si="0"/>
        <v>25</v>
      </c>
      <c r="B32" s="15" t="s">
        <v>92</v>
      </c>
      <c r="C32" s="15"/>
      <c r="D32" s="2" t="s">
        <v>93</v>
      </c>
      <c r="E32" s="16">
        <v>0</v>
      </c>
      <c r="F32" s="17">
        <v>45334</v>
      </c>
      <c r="G32" s="18" t="s">
        <v>94</v>
      </c>
      <c r="H32" s="18" t="s">
        <v>36</v>
      </c>
      <c r="I32" s="19">
        <v>17</v>
      </c>
      <c r="J32" s="18" t="s">
        <v>37</v>
      </c>
      <c r="K32" s="19"/>
      <c r="L32" s="14" t="s">
        <v>38</v>
      </c>
      <c r="M32" s="49"/>
    </row>
    <row r="33" spans="1:13" ht="13.5" hidden="1" customHeight="1">
      <c r="A33" s="14">
        <f t="shared" si="0"/>
        <v>26</v>
      </c>
      <c r="B33" s="15" t="s">
        <v>95</v>
      </c>
      <c r="C33" s="15"/>
      <c r="D33" s="2" t="s">
        <v>96</v>
      </c>
      <c r="E33" s="16">
        <v>0</v>
      </c>
      <c r="F33" s="17">
        <v>45334</v>
      </c>
      <c r="G33" s="18" t="s">
        <v>10</v>
      </c>
      <c r="H33" s="18" t="s">
        <v>36</v>
      </c>
      <c r="I33" s="19">
        <v>8</v>
      </c>
      <c r="J33" s="18" t="s">
        <v>37</v>
      </c>
      <c r="K33" s="19"/>
      <c r="L33" s="14" t="s">
        <v>38</v>
      </c>
      <c r="M33" s="49"/>
    </row>
    <row r="34" spans="1:13" ht="13.5" hidden="1" customHeight="1">
      <c r="A34" s="14">
        <f t="shared" si="0"/>
        <v>27</v>
      </c>
      <c r="B34" s="15" t="s">
        <v>97</v>
      </c>
      <c r="C34" s="15"/>
      <c r="D34" s="15" t="s">
        <v>98</v>
      </c>
      <c r="E34" s="16">
        <v>0</v>
      </c>
      <c r="F34" s="17">
        <v>45334</v>
      </c>
      <c r="G34" s="18" t="s">
        <v>41</v>
      </c>
      <c r="H34" s="18" t="s">
        <v>36</v>
      </c>
      <c r="I34" s="19" t="s">
        <v>34</v>
      </c>
      <c r="J34" s="18" t="s">
        <v>65</v>
      </c>
      <c r="K34" s="19"/>
      <c r="L34" s="14" t="s">
        <v>38</v>
      </c>
      <c r="M34" s="49"/>
    </row>
    <row r="35" spans="1:13" ht="13.5" hidden="1" customHeight="1">
      <c r="A35" s="14">
        <f t="shared" si="0"/>
        <v>28</v>
      </c>
      <c r="B35" s="15" t="s">
        <v>99</v>
      </c>
      <c r="C35" s="15"/>
      <c r="D35" s="15" t="s">
        <v>100</v>
      </c>
      <c r="E35" s="16">
        <v>0</v>
      </c>
      <c r="F35" s="17">
        <v>45334</v>
      </c>
      <c r="G35" s="18" t="s">
        <v>41</v>
      </c>
      <c r="H35" s="18" t="s">
        <v>36</v>
      </c>
      <c r="I35" s="19" t="s">
        <v>34</v>
      </c>
      <c r="J35" s="18" t="s">
        <v>65</v>
      </c>
      <c r="K35" s="19"/>
      <c r="L35" s="14" t="s">
        <v>38</v>
      </c>
      <c r="M35" s="49"/>
    </row>
    <row r="36" spans="1:13" ht="13.5" hidden="1" customHeight="1">
      <c r="A36" s="14">
        <f t="shared" si="0"/>
        <v>29</v>
      </c>
      <c r="B36" s="15" t="s">
        <v>101</v>
      </c>
      <c r="C36" s="15"/>
      <c r="D36" s="15" t="s">
        <v>102</v>
      </c>
      <c r="E36" s="16">
        <v>0</v>
      </c>
      <c r="F36" s="17">
        <v>45334</v>
      </c>
      <c r="G36" s="18" t="s">
        <v>41</v>
      </c>
      <c r="H36" s="18" t="s">
        <v>36</v>
      </c>
      <c r="I36" s="19" t="s">
        <v>34</v>
      </c>
      <c r="J36" s="18" t="s">
        <v>65</v>
      </c>
      <c r="K36" s="19"/>
      <c r="L36" s="14" t="s">
        <v>38</v>
      </c>
      <c r="M36" s="49"/>
    </row>
    <row r="37" spans="1:13" ht="13.5" hidden="1" customHeight="1">
      <c r="A37" s="14">
        <f t="shared" si="0"/>
        <v>30</v>
      </c>
      <c r="B37" s="15" t="s">
        <v>103</v>
      </c>
      <c r="C37" s="15"/>
      <c r="D37" s="15" t="s">
        <v>104</v>
      </c>
      <c r="E37" s="16">
        <v>0</v>
      </c>
      <c r="F37" s="17">
        <v>45334</v>
      </c>
      <c r="G37" s="18" t="s">
        <v>41</v>
      </c>
      <c r="H37" s="18" t="s">
        <v>36</v>
      </c>
      <c r="I37" s="19" t="s">
        <v>34</v>
      </c>
      <c r="J37" s="18" t="s">
        <v>65</v>
      </c>
      <c r="K37" s="19"/>
      <c r="L37" s="14" t="s">
        <v>38</v>
      </c>
      <c r="M37" s="49"/>
    </row>
    <row r="38" spans="1:13" ht="13.5" hidden="1" customHeight="1">
      <c r="A38" s="14">
        <f t="shared" si="0"/>
        <v>31</v>
      </c>
      <c r="B38" s="15" t="s">
        <v>105</v>
      </c>
      <c r="C38" s="15"/>
      <c r="D38" s="15" t="s">
        <v>106</v>
      </c>
      <c r="E38" s="16">
        <v>0</v>
      </c>
      <c r="F38" s="17">
        <v>45334</v>
      </c>
      <c r="G38" s="18" t="s">
        <v>41</v>
      </c>
      <c r="H38" s="18" t="s">
        <v>36</v>
      </c>
      <c r="I38" s="19" t="s">
        <v>34</v>
      </c>
      <c r="J38" s="18" t="s">
        <v>65</v>
      </c>
      <c r="K38" s="19"/>
      <c r="L38" s="14" t="s">
        <v>38</v>
      </c>
      <c r="M38" s="49"/>
    </row>
    <row r="39" spans="1:13" ht="13.5" hidden="1" customHeight="1">
      <c r="A39" s="14">
        <f t="shared" si="0"/>
        <v>32</v>
      </c>
      <c r="B39" s="15" t="s">
        <v>107</v>
      </c>
      <c r="C39" s="15"/>
      <c r="D39" s="15" t="s">
        <v>108</v>
      </c>
      <c r="E39" s="16">
        <v>0</v>
      </c>
      <c r="F39" s="17">
        <v>45334</v>
      </c>
      <c r="G39" s="18" t="s">
        <v>41</v>
      </c>
      <c r="H39" s="18" t="s">
        <v>36</v>
      </c>
      <c r="I39" s="19" t="s">
        <v>34</v>
      </c>
      <c r="J39" s="18" t="s">
        <v>65</v>
      </c>
      <c r="K39" s="19"/>
      <c r="L39" s="14" t="s">
        <v>38</v>
      </c>
      <c r="M39" s="49"/>
    </row>
    <row r="40" spans="1:13" ht="13.5" hidden="1" customHeight="1">
      <c r="A40" s="14">
        <f t="shared" si="0"/>
        <v>33</v>
      </c>
      <c r="B40" s="15" t="s">
        <v>109</v>
      </c>
      <c r="C40" s="15"/>
      <c r="D40" s="15" t="s">
        <v>110</v>
      </c>
      <c r="E40" s="16">
        <v>0</v>
      </c>
      <c r="F40" s="17">
        <v>45334</v>
      </c>
      <c r="G40" s="18" t="s">
        <v>41</v>
      </c>
      <c r="H40" s="18" t="s">
        <v>36</v>
      </c>
      <c r="I40" s="19" t="s">
        <v>34</v>
      </c>
      <c r="J40" s="18" t="s">
        <v>65</v>
      </c>
      <c r="K40" s="19"/>
      <c r="L40" s="14" t="s">
        <v>38</v>
      </c>
      <c r="M40" s="49"/>
    </row>
    <row r="41" spans="1:13" ht="13.5" hidden="1" customHeight="1">
      <c r="A41" s="14">
        <f t="shared" si="0"/>
        <v>34</v>
      </c>
      <c r="B41" s="15" t="s">
        <v>111</v>
      </c>
      <c r="C41" s="15"/>
      <c r="D41" s="15" t="s">
        <v>112</v>
      </c>
      <c r="E41" s="16">
        <v>0</v>
      </c>
      <c r="F41" s="17">
        <v>45334</v>
      </c>
      <c r="G41" s="18" t="s">
        <v>41</v>
      </c>
      <c r="H41" s="18" t="s">
        <v>36</v>
      </c>
      <c r="I41" s="19" t="s">
        <v>34</v>
      </c>
      <c r="J41" s="18" t="s">
        <v>65</v>
      </c>
      <c r="K41" s="19"/>
      <c r="L41" s="14" t="s">
        <v>38</v>
      </c>
      <c r="M41" s="49"/>
    </row>
    <row r="42" spans="1:13" ht="13.5" hidden="1" customHeight="1">
      <c r="A42" s="14">
        <f t="shared" si="0"/>
        <v>35</v>
      </c>
      <c r="B42" s="15" t="s">
        <v>113</v>
      </c>
      <c r="C42" s="15"/>
      <c r="D42" s="15" t="s">
        <v>114</v>
      </c>
      <c r="E42" s="16">
        <v>0</v>
      </c>
      <c r="F42" s="17">
        <v>45334</v>
      </c>
      <c r="G42" s="18" t="s">
        <v>41</v>
      </c>
      <c r="H42" s="18" t="s">
        <v>36</v>
      </c>
      <c r="I42" s="19" t="s">
        <v>34</v>
      </c>
      <c r="J42" s="18" t="s">
        <v>65</v>
      </c>
      <c r="K42" s="19"/>
      <c r="L42" s="14" t="s">
        <v>38</v>
      </c>
      <c r="M42" s="49"/>
    </row>
    <row r="43" spans="1:13" ht="13.5" hidden="1" customHeight="1">
      <c r="A43" s="14">
        <f t="shared" si="0"/>
        <v>36</v>
      </c>
      <c r="B43" s="15" t="s">
        <v>115</v>
      </c>
      <c r="C43" s="15"/>
      <c r="D43" s="15" t="s">
        <v>116</v>
      </c>
      <c r="E43" s="16">
        <v>0</v>
      </c>
      <c r="F43" s="17">
        <v>45334</v>
      </c>
      <c r="G43" s="18" t="s">
        <v>41</v>
      </c>
      <c r="H43" s="18" t="s">
        <v>36</v>
      </c>
      <c r="I43" s="19" t="s">
        <v>34</v>
      </c>
      <c r="J43" s="18" t="s">
        <v>65</v>
      </c>
      <c r="K43" s="19"/>
      <c r="L43" s="14" t="s">
        <v>38</v>
      </c>
      <c r="M43" s="49"/>
    </row>
    <row r="44" spans="1:13" ht="13.5" hidden="1" customHeight="1">
      <c r="A44" s="14">
        <f t="shared" si="0"/>
        <v>37</v>
      </c>
      <c r="B44" s="15" t="s">
        <v>117</v>
      </c>
      <c r="C44" s="15"/>
      <c r="D44" s="15" t="s">
        <v>118</v>
      </c>
      <c r="E44" s="16">
        <v>0</v>
      </c>
      <c r="F44" s="17">
        <v>45334</v>
      </c>
      <c r="G44" s="18" t="s">
        <v>41</v>
      </c>
      <c r="H44" s="18" t="s">
        <v>36</v>
      </c>
      <c r="I44" s="19" t="s">
        <v>34</v>
      </c>
      <c r="J44" s="18" t="s">
        <v>65</v>
      </c>
      <c r="K44" s="19"/>
      <c r="L44" s="14" t="s">
        <v>38</v>
      </c>
      <c r="M44" s="49"/>
    </row>
    <row r="45" spans="1:13" ht="13.5" hidden="1" customHeight="1">
      <c r="A45" s="14">
        <f t="shared" si="0"/>
        <v>38</v>
      </c>
      <c r="B45" s="15" t="s">
        <v>119</v>
      </c>
      <c r="C45" s="15"/>
      <c r="D45" s="15" t="s">
        <v>120</v>
      </c>
      <c r="E45" s="16">
        <v>0</v>
      </c>
      <c r="F45" s="17">
        <v>45334</v>
      </c>
      <c r="G45" s="18" t="s">
        <v>41</v>
      </c>
      <c r="H45" s="18" t="s">
        <v>36</v>
      </c>
      <c r="I45" s="19" t="s">
        <v>34</v>
      </c>
      <c r="J45" s="18" t="s">
        <v>65</v>
      </c>
      <c r="K45" s="19"/>
      <c r="L45" s="14" t="s">
        <v>38</v>
      </c>
      <c r="M45" s="49"/>
    </row>
    <row r="46" spans="1:13" ht="13.5" hidden="1" customHeight="1">
      <c r="A46" s="14">
        <f t="shared" si="0"/>
        <v>39</v>
      </c>
      <c r="B46" s="15" t="s">
        <v>121</v>
      </c>
      <c r="C46" s="15"/>
      <c r="D46" s="15" t="s">
        <v>122</v>
      </c>
      <c r="E46" s="16">
        <v>0</v>
      </c>
      <c r="F46" s="17">
        <v>45334</v>
      </c>
      <c r="G46" s="18" t="s">
        <v>41</v>
      </c>
      <c r="H46" s="18" t="s">
        <v>36</v>
      </c>
      <c r="I46" s="19" t="s">
        <v>34</v>
      </c>
      <c r="J46" s="18" t="s">
        <v>65</v>
      </c>
      <c r="K46" s="19"/>
      <c r="L46" s="14" t="s">
        <v>38</v>
      </c>
      <c r="M46" s="49"/>
    </row>
    <row r="47" spans="1:13" ht="13.5" hidden="1" customHeight="1">
      <c r="A47" s="14">
        <f t="shared" si="0"/>
        <v>40</v>
      </c>
      <c r="B47" s="15" t="s">
        <v>123</v>
      </c>
      <c r="C47" s="15"/>
      <c r="D47" s="15" t="s">
        <v>124</v>
      </c>
      <c r="E47" s="16">
        <v>0</v>
      </c>
      <c r="F47" s="17">
        <v>45334</v>
      </c>
      <c r="G47" s="18" t="s">
        <v>41</v>
      </c>
      <c r="H47" s="18" t="s">
        <v>36</v>
      </c>
      <c r="I47" s="19" t="s">
        <v>34</v>
      </c>
      <c r="J47" s="18" t="s">
        <v>65</v>
      </c>
      <c r="K47" s="19"/>
      <c r="L47" s="14" t="s">
        <v>38</v>
      </c>
      <c r="M47" s="49"/>
    </row>
    <row r="48" spans="1:13" ht="13.5" hidden="1" customHeight="1">
      <c r="A48" s="14">
        <f t="shared" si="0"/>
        <v>41</v>
      </c>
      <c r="B48" s="15" t="s">
        <v>125</v>
      </c>
      <c r="C48" s="15"/>
      <c r="D48" s="15" t="s">
        <v>126</v>
      </c>
      <c r="E48" s="16">
        <v>0</v>
      </c>
      <c r="F48" s="17">
        <v>45334</v>
      </c>
      <c r="G48" s="18" t="s">
        <v>41</v>
      </c>
      <c r="H48" s="18" t="s">
        <v>36</v>
      </c>
      <c r="I48" s="19" t="s">
        <v>34</v>
      </c>
      <c r="J48" s="18" t="s">
        <v>65</v>
      </c>
      <c r="K48" s="19"/>
      <c r="L48" s="14" t="s">
        <v>38</v>
      </c>
      <c r="M48" s="49"/>
    </row>
    <row r="49" spans="1:13" ht="13.5" hidden="1" customHeight="1">
      <c r="A49" s="14">
        <f t="shared" si="0"/>
        <v>42</v>
      </c>
      <c r="B49" s="15" t="s">
        <v>127</v>
      </c>
      <c r="C49" s="15"/>
      <c r="D49" s="15" t="s">
        <v>128</v>
      </c>
      <c r="E49" s="16">
        <v>0</v>
      </c>
      <c r="F49" s="17">
        <v>45334</v>
      </c>
      <c r="G49" s="18" t="s">
        <v>41</v>
      </c>
      <c r="H49" s="18" t="s">
        <v>36</v>
      </c>
      <c r="I49" s="19" t="s">
        <v>34</v>
      </c>
      <c r="J49" s="18" t="s">
        <v>65</v>
      </c>
      <c r="K49" s="19"/>
      <c r="L49" s="14" t="s">
        <v>38</v>
      </c>
      <c r="M49" s="49"/>
    </row>
    <row r="50" spans="1:13" ht="13.5" hidden="1" customHeight="1">
      <c r="A50" s="14">
        <f t="shared" si="0"/>
        <v>43</v>
      </c>
      <c r="B50" s="15" t="s">
        <v>129</v>
      </c>
      <c r="C50" s="15"/>
      <c r="D50" s="15" t="s">
        <v>130</v>
      </c>
      <c r="E50" s="16">
        <v>0</v>
      </c>
      <c r="F50" s="17">
        <v>45334</v>
      </c>
      <c r="G50" s="18" t="s">
        <v>41</v>
      </c>
      <c r="H50" s="18" t="s">
        <v>36</v>
      </c>
      <c r="I50" s="19" t="s">
        <v>34</v>
      </c>
      <c r="J50" s="18" t="s">
        <v>65</v>
      </c>
      <c r="K50" s="19"/>
      <c r="L50" s="14" t="s">
        <v>38</v>
      </c>
      <c r="M50" s="49"/>
    </row>
    <row r="51" spans="1:13" ht="13.5" hidden="1" customHeight="1">
      <c r="A51" s="14">
        <f t="shared" si="0"/>
        <v>44</v>
      </c>
      <c r="B51" s="15" t="s">
        <v>131</v>
      </c>
      <c r="C51" s="15"/>
      <c r="D51" s="15" t="s">
        <v>132</v>
      </c>
      <c r="E51" s="16">
        <v>0</v>
      </c>
      <c r="F51" s="17">
        <v>45334</v>
      </c>
      <c r="G51" s="18" t="s">
        <v>41</v>
      </c>
      <c r="H51" s="18" t="s">
        <v>36</v>
      </c>
      <c r="I51" s="19" t="s">
        <v>34</v>
      </c>
      <c r="J51" s="18" t="s">
        <v>65</v>
      </c>
      <c r="K51" s="19"/>
      <c r="L51" s="14" t="s">
        <v>38</v>
      </c>
      <c r="M51" s="49"/>
    </row>
    <row r="52" spans="1:13" ht="13.5" hidden="1" customHeight="1">
      <c r="A52" s="14">
        <f t="shared" si="0"/>
        <v>45</v>
      </c>
      <c r="B52" s="15" t="s">
        <v>133</v>
      </c>
      <c r="C52" s="15"/>
      <c r="D52" s="15" t="s">
        <v>134</v>
      </c>
      <c r="E52" s="16">
        <v>0</v>
      </c>
      <c r="F52" s="17">
        <v>45334</v>
      </c>
      <c r="G52" s="18" t="s">
        <v>41</v>
      </c>
      <c r="H52" s="18" t="s">
        <v>36</v>
      </c>
      <c r="I52" s="19" t="s">
        <v>34</v>
      </c>
      <c r="J52" s="18" t="s">
        <v>65</v>
      </c>
      <c r="K52" s="19"/>
      <c r="L52" s="14" t="s">
        <v>38</v>
      </c>
      <c r="M52" s="49"/>
    </row>
    <row r="53" spans="1:13" ht="13.5" hidden="1" customHeight="1">
      <c r="A53" s="14">
        <f t="shared" si="0"/>
        <v>46</v>
      </c>
      <c r="B53" s="15" t="s">
        <v>135</v>
      </c>
      <c r="C53" s="15"/>
      <c r="D53" s="15" t="s">
        <v>136</v>
      </c>
      <c r="E53" s="16">
        <v>0</v>
      </c>
      <c r="F53" s="17">
        <v>45334</v>
      </c>
      <c r="G53" s="18" t="s">
        <v>41</v>
      </c>
      <c r="H53" s="18" t="s">
        <v>36</v>
      </c>
      <c r="I53" s="19" t="s">
        <v>34</v>
      </c>
      <c r="J53" s="18" t="s">
        <v>65</v>
      </c>
      <c r="K53" s="19"/>
      <c r="L53" s="14" t="s">
        <v>38</v>
      </c>
      <c r="M53" s="49"/>
    </row>
    <row r="54" spans="1:13" ht="13.5" hidden="1" customHeight="1">
      <c r="A54" s="14">
        <f t="shared" si="0"/>
        <v>47</v>
      </c>
      <c r="B54" s="15" t="s">
        <v>137</v>
      </c>
      <c r="C54" s="15"/>
      <c r="D54" s="15" t="s">
        <v>138</v>
      </c>
      <c r="E54" s="16">
        <v>0</v>
      </c>
      <c r="F54" s="17">
        <v>45334</v>
      </c>
      <c r="G54" s="18" t="s">
        <v>41</v>
      </c>
      <c r="H54" s="18" t="s">
        <v>36</v>
      </c>
      <c r="I54" s="19" t="s">
        <v>34</v>
      </c>
      <c r="J54" s="18" t="s">
        <v>65</v>
      </c>
      <c r="K54" s="19"/>
      <c r="L54" s="14" t="s">
        <v>38</v>
      </c>
      <c r="M54" s="49"/>
    </row>
    <row r="55" spans="1:13" ht="13.5" hidden="1" customHeight="1">
      <c r="A55" s="14">
        <f t="shared" si="0"/>
        <v>48</v>
      </c>
      <c r="B55" s="15" t="s">
        <v>139</v>
      </c>
      <c r="C55" s="15"/>
      <c r="D55" s="15" t="s">
        <v>140</v>
      </c>
      <c r="E55" s="16">
        <v>0</v>
      </c>
      <c r="F55" s="17">
        <v>45334</v>
      </c>
      <c r="G55" s="18" t="s">
        <v>41</v>
      </c>
      <c r="H55" s="18" t="s">
        <v>36</v>
      </c>
      <c r="I55" s="19" t="s">
        <v>34</v>
      </c>
      <c r="J55" s="18" t="s">
        <v>65</v>
      </c>
      <c r="K55" s="19"/>
      <c r="L55" s="14" t="s">
        <v>38</v>
      </c>
      <c r="M55" s="49"/>
    </row>
    <row r="56" spans="1:13" ht="13.5" hidden="1" customHeight="1">
      <c r="A56" s="14">
        <f t="shared" si="0"/>
        <v>49</v>
      </c>
      <c r="B56" s="15" t="s">
        <v>141</v>
      </c>
      <c r="C56" s="15"/>
      <c r="D56" s="15" t="s">
        <v>142</v>
      </c>
      <c r="E56" s="16">
        <v>0</v>
      </c>
      <c r="F56" s="17">
        <v>45334</v>
      </c>
      <c r="G56" s="18" t="s">
        <v>41</v>
      </c>
      <c r="H56" s="18" t="s">
        <v>36</v>
      </c>
      <c r="I56" s="19" t="s">
        <v>34</v>
      </c>
      <c r="J56" s="18" t="s">
        <v>65</v>
      </c>
      <c r="K56" s="19"/>
      <c r="L56" s="14" t="s">
        <v>38</v>
      </c>
      <c r="M56" s="49"/>
    </row>
    <row r="57" spans="1:13" ht="13.5" hidden="1" customHeight="1">
      <c r="A57" s="14">
        <f t="shared" si="0"/>
        <v>50</v>
      </c>
      <c r="B57" s="15" t="s">
        <v>143</v>
      </c>
      <c r="C57" s="15"/>
      <c r="D57" s="2" t="s">
        <v>144</v>
      </c>
      <c r="E57" s="16">
        <v>2</v>
      </c>
      <c r="F57" s="17">
        <v>45334</v>
      </c>
      <c r="G57" s="18" t="s">
        <v>145</v>
      </c>
      <c r="H57" s="18" t="s">
        <v>36</v>
      </c>
      <c r="I57" s="19">
        <v>45</v>
      </c>
      <c r="J57" s="18" t="s">
        <v>37</v>
      </c>
      <c r="K57" s="19" t="s">
        <v>146</v>
      </c>
      <c r="L57" s="14" t="s">
        <v>38</v>
      </c>
      <c r="M57" s="49"/>
    </row>
    <row r="58" spans="1:13" ht="13.5" hidden="1" customHeight="1">
      <c r="A58" s="14">
        <f t="shared" si="0"/>
        <v>51</v>
      </c>
      <c r="B58" s="15" t="s">
        <v>147</v>
      </c>
      <c r="C58" s="15"/>
      <c r="D58" s="2" t="s">
        <v>148</v>
      </c>
      <c r="E58" s="16">
        <v>2</v>
      </c>
      <c r="F58" s="17">
        <v>45334</v>
      </c>
      <c r="G58" s="18" t="s">
        <v>94</v>
      </c>
      <c r="H58" s="18" t="s">
        <v>36</v>
      </c>
      <c r="I58" s="19">
        <v>11</v>
      </c>
      <c r="J58" s="18" t="s">
        <v>37</v>
      </c>
      <c r="K58" s="19" t="s">
        <v>149</v>
      </c>
      <c r="L58" s="14" t="s">
        <v>38</v>
      </c>
      <c r="M58" s="49"/>
    </row>
    <row r="59" spans="1:13" ht="13.5" hidden="1" customHeight="1">
      <c r="A59" s="14">
        <f t="shared" si="0"/>
        <v>52</v>
      </c>
      <c r="B59" s="15" t="s">
        <v>150</v>
      </c>
      <c r="C59" s="15"/>
      <c r="D59" s="2" t="s">
        <v>151</v>
      </c>
      <c r="E59" s="16">
        <v>1</v>
      </c>
      <c r="F59" s="17">
        <v>45334</v>
      </c>
      <c r="G59" s="18" t="s">
        <v>152</v>
      </c>
      <c r="H59" s="18" t="s">
        <v>36</v>
      </c>
      <c r="I59" s="19">
        <v>58</v>
      </c>
      <c r="J59" s="18" t="s">
        <v>37</v>
      </c>
      <c r="K59" s="19" t="s">
        <v>149</v>
      </c>
      <c r="L59" s="14" t="s">
        <v>38</v>
      </c>
      <c r="M59" s="49"/>
    </row>
    <row r="60" spans="1:13" ht="13.5" hidden="1" customHeight="1">
      <c r="A60" s="14">
        <f t="shared" si="0"/>
        <v>53</v>
      </c>
      <c r="B60" s="15" t="s">
        <v>153</v>
      </c>
      <c r="C60" s="15"/>
      <c r="D60" s="2" t="s">
        <v>154</v>
      </c>
      <c r="E60" s="16">
        <v>1</v>
      </c>
      <c r="F60" s="17">
        <v>45334</v>
      </c>
      <c r="G60" s="18" t="s">
        <v>41</v>
      </c>
      <c r="H60" s="18" t="s">
        <v>36</v>
      </c>
      <c r="I60" s="19" t="s">
        <v>34</v>
      </c>
      <c r="J60" s="18" t="s">
        <v>37</v>
      </c>
      <c r="K60" s="19" t="s">
        <v>155</v>
      </c>
      <c r="L60" s="14" t="s">
        <v>38</v>
      </c>
      <c r="M60" s="49"/>
    </row>
    <row r="61" spans="1:13" ht="13.5" hidden="1" customHeight="1">
      <c r="A61" s="14">
        <f t="shared" si="0"/>
        <v>54</v>
      </c>
      <c r="B61" s="15" t="s">
        <v>156</v>
      </c>
      <c r="C61" s="15"/>
      <c r="D61" s="2" t="s">
        <v>157</v>
      </c>
      <c r="E61" s="16">
        <v>1</v>
      </c>
      <c r="F61" s="17">
        <v>45334</v>
      </c>
      <c r="G61" s="18" t="s">
        <v>41</v>
      </c>
      <c r="H61" s="18" t="s">
        <v>36</v>
      </c>
      <c r="I61" s="19" t="s">
        <v>34</v>
      </c>
      <c r="J61" s="18" t="s">
        <v>37</v>
      </c>
      <c r="K61" s="19" t="s">
        <v>155</v>
      </c>
      <c r="L61" s="14" t="s">
        <v>38</v>
      </c>
      <c r="M61" s="49"/>
    </row>
    <row r="62" spans="1:13" ht="13.5" hidden="1" customHeight="1">
      <c r="A62" s="14">
        <f t="shared" si="0"/>
        <v>55</v>
      </c>
      <c r="B62" s="15" t="s">
        <v>158</v>
      </c>
      <c r="C62" s="15"/>
      <c r="D62" s="2" t="s">
        <v>159</v>
      </c>
      <c r="E62" s="16">
        <v>1</v>
      </c>
      <c r="F62" s="17">
        <v>45334</v>
      </c>
      <c r="G62" s="18" t="s">
        <v>41</v>
      </c>
      <c r="H62" s="18" t="s">
        <v>36</v>
      </c>
      <c r="I62" s="19" t="s">
        <v>34</v>
      </c>
      <c r="J62" s="18" t="s">
        <v>37</v>
      </c>
      <c r="K62" s="19" t="s">
        <v>155</v>
      </c>
      <c r="L62" s="14" t="s">
        <v>38</v>
      </c>
      <c r="M62" s="49"/>
    </row>
    <row r="63" spans="1:13" ht="13.5" hidden="1" customHeight="1">
      <c r="A63" s="14">
        <f t="shared" si="0"/>
        <v>56</v>
      </c>
      <c r="B63" s="15" t="s">
        <v>160</v>
      </c>
      <c r="C63" s="15"/>
      <c r="D63" s="2" t="s">
        <v>161</v>
      </c>
      <c r="E63" s="16">
        <v>1</v>
      </c>
      <c r="F63" s="17">
        <v>45334</v>
      </c>
      <c r="G63" s="18" t="s">
        <v>41</v>
      </c>
      <c r="H63" s="18" t="s">
        <v>36</v>
      </c>
      <c r="I63" s="19" t="s">
        <v>34</v>
      </c>
      <c r="J63" s="18" t="s">
        <v>37</v>
      </c>
      <c r="K63" s="19" t="s">
        <v>155</v>
      </c>
      <c r="L63" s="14" t="s">
        <v>38</v>
      </c>
      <c r="M63" s="49"/>
    </row>
    <row r="64" spans="1:13" ht="13.5" hidden="1" customHeight="1">
      <c r="A64" s="14">
        <f t="shared" si="0"/>
        <v>57</v>
      </c>
      <c r="B64" s="15" t="s">
        <v>162</v>
      </c>
      <c r="C64" s="15"/>
      <c r="D64" s="2" t="s">
        <v>163</v>
      </c>
      <c r="E64" s="16">
        <v>1</v>
      </c>
      <c r="F64" s="17">
        <v>45334</v>
      </c>
      <c r="G64" s="18" t="s">
        <v>41</v>
      </c>
      <c r="H64" s="18" t="s">
        <v>36</v>
      </c>
      <c r="I64" s="19" t="s">
        <v>34</v>
      </c>
      <c r="J64" s="18" t="s">
        <v>37</v>
      </c>
      <c r="K64" s="19" t="s">
        <v>155</v>
      </c>
      <c r="L64" s="14" t="s">
        <v>38</v>
      </c>
      <c r="M64" s="49"/>
    </row>
    <row r="65" spans="1:13" ht="13.5" hidden="1" customHeight="1">
      <c r="A65" s="14">
        <f t="shared" si="0"/>
        <v>58</v>
      </c>
      <c r="B65" s="15" t="s">
        <v>164</v>
      </c>
      <c r="C65" s="15"/>
      <c r="D65" s="2" t="s">
        <v>165</v>
      </c>
      <c r="E65" s="16">
        <v>1</v>
      </c>
      <c r="F65" s="17">
        <v>45334</v>
      </c>
      <c r="G65" s="18" t="s">
        <v>41</v>
      </c>
      <c r="H65" s="18" t="s">
        <v>36</v>
      </c>
      <c r="I65" s="19" t="s">
        <v>34</v>
      </c>
      <c r="J65" s="18" t="s">
        <v>37</v>
      </c>
      <c r="K65" s="19" t="s">
        <v>155</v>
      </c>
      <c r="L65" s="14" t="s">
        <v>38</v>
      </c>
      <c r="M65" s="49"/>
    </row>
    <row r="66" spans="1:13" ht="13.5" hidden="1" customHeight="1">
      <c r="A66" s="14">
        <f t="shared" si="0"/>
        <v>59</v>
      </c>
      <c r="B66" s="15" t="s">
        <v>166</v>
      </c>
      <c r="C66" s="15"/>
      <c r="D66" s="2" t="s">
        <v>167</v>
      </c>
      <c r="E66" s="16">
        <v>1</v>
      </c>
      <c r="F66" s="17">
        <v>45334</v>
      </c>
      <c r="G66" s="18" t="s">
        <v>41</v>
      </c>
      <c r="H66" s="18" t="s">
        <v>36</v>
      </c>
      <c r="I66" s="19" t="s">
        <v>34</v>
      </c>
      <c r="J66" s="18" t="s">
        <v>37</v>
      </c>
      <c r="K66" s="19" t="s">
        <v>155</v>
      </c>
      <c r="L66" s="14" t="s">
        <v>38</v>
      </c>
      <c r="M66" s="49"/>
    </row>
    <row r="67" spans="1:13" ht="13.5" hidden="1" customHeight="1">
      <c r="A67" s="14">
        <f t="shared" si="0"/>
        <v>60</v>
      </c>
      <c r="B67" s="15" t="s">
        <v>168</v>
      </c>
      <c r="C67" s="15"/>
      <c r="D67" s="2" t="s">
        <v>169</v>
      </c>
      <c r="E67" s="16">
        <v>1</v>
      </c>
      <c r="F67" s="17">
        <v>45334</v>
      </c>
      <c r="G67" s="18" t="s">
        <v>41</v>
      </c>
      <c r="H67" s="18" t="s">
        <v>36</v>
      </c>
      <c r="I67" s="19" t="s">
        <v>34</v>
      </c>
      <c r="J67" s="18" t="s">
        <v>37</v>
      </c>
      <c r="K67" s="19" t="s">
        <v>155</v>
      </c>
      <c r="L67" s="14" t="s">
        <v>38</v>
      </c>
      <c r="M67" s="49"/>
    </row>
    <row r="68" spans="1:13" ht="13.5" hidden="1" customHeight="1">
      <c r="A68" s="14">
        <f t="shared" si="0"/>
        <v>61</v>
      </c>
      <c r="B68" s="15" t="s">
        <v>170</v>
      </c>
      <c r="C68" s="15"/>
      <c r="D68" s="2" t="s">
        <v>171</v>
      </c>
      <c r="E68" s="16">
        <v>1</v>
      </c>
      <c r="F68" s="17">
        <v>45334</v>
      </c>
      <c r="G68" s="18" t="s">
        <v>41</v>
      </c>
      <c r="H68" s="18" t="s">
        <v>36</v>
      </c>
      <c r="I68" s="19" t="s">
        <v>34</v>
      </c>
      <c r="J68" s="18" t="s">
        <v>37</v>
      </c>
      <c r="K68" s="19" t="s">
        <v>155</v>
      </c>
      <c r="L68" s="14" t="s">
        <v>38</v>
      </c>
      <c r="M68" s="49"/>
    </row>
    <row r="69" spans="1:13" ht="13.5" hidden="1" customHeight="1">
      <c r="A69" s="14">
        <f t="shared" si="0"/>
        <v>62</v>
      </c>
      <c r="B69" s="15" t="s">
        <v>172</v>
      </c>
      <c r="C69" s="15"/>
      <c r="D69" s="2" t="s">
        <v>173</v>
      </c>
      <c r="E69" s="16">
        <v>1</v>
      </c>
      <c r="F69" s="17">
        <v>45334</v>
      </c>
      <c r="G69" s="18" t="s">
        <v>41</v>
      </c>
      <c r="H69" s="18" t="s">
        <v>36</v>
      </c>
      <c r="I69" s="19" t="s">
        <v>34</v>
      </c>
      <c r="J69" s="18" t="s">
        <v>37</v>
      </c>
      <c r="K69" s="19" t="s">
        <v>155</v>
      </c>
      <c r="L69" s="14" t="s">
        <v>38</v>
      </c>
      <c r="M69" s="49"/>
    </row>
    <row r="70" spans="1:13" ht="13.5" hidden="1" customHeight="1">
      <c r="A70" s="14">
        <f t="shared" si="0"/>
        <v>63</v>
      </c>
      <c r="B70" s="15" t="s">
        <v>174</v>
      </c>
      <c r="C70" s="15"/>
      <c r="D70" s="2" t="s">
        <v>175</v>
      </c>
      <c r="E70" s="16">
        <v>1</v>
      </c>
      <c r="F70" s="17">
        <v>45334</v>
      </c>
      <c r="G70" s="18" t="s">
        <v>41</v>
      </c>
      <c r="H70" s="18" t="s">
        <v>36</v>
      </c>
      <c r="I70" s="19" t="s">
        <v>34</v>
      </c>
      <c r="J70" s="18" t="s">
        <v>37</v>
      </c>
      <c r="K70" s="19" t="s">
        <v>155</v>
      </c>
      <c r="L70" s="14" t="s">
        <v>38</v>
      </c>
      <c r="M70" s="49"/>
    </row>
    <row r="71" spans="1:13" ht="13.5" hidden="1" customHeight="1">
      <c r="A71" s="14">
        <f t="shared" si="0"/>
        <v>64</v>
      </c>
      <c r="B71" s="15" t="s">
        <v>176</v>
      </c>
      <c r="C71" s="15"/>
      <c r="D71" s="2" t="s">
        <v>177</v>
      </c>
      <c r="E71" s="16">
        <v>1</v>
      </c>
      <c r="F71" s="17">
        <v>45334</v>
      </c>
      <c r="G71" s="18" t="s">
        <v>41</v>
      </c>
      <c r="H71" s="18" t="s">
        <v>36</v>
      </c>
      <c r="I71" s="19" t="s">
        <v>34</v>
      </c>
      <c r="J71" s="18" t="s">
        <v>37</v>
      </c>
      <c r="K71" s="19" t="s">
        <v>155</v>
      </c>
      <c r="L71" s="14" t="s">
        <v>38</v>
      </c>
      <c r="M71" s="49"/>
    </row>
    <row r="72" spans="1:13" ht="13.5" hidden="1" customHeight="1">
      <c r="A72" s="14">
        <f t="shared" si="0"/>
        <v>65</v>
      </c>
      <c r="B72" s="15" t="s">
        <v>178</v>
      </c>
      <c r="C72" s="15"/>
      <c r="D72" s="2" t="s">
        <v>179</v>
      </c>
      <c r="E72" s="16">
        <v>1</v>
      </c>
      <c r="F72" s="17">
        <v>45334</v>
      </c>
      <c r="G72" s="18" t="s">
        <v>41</v>
      </c>
      <c r="H72" s="18" t="s">
        <v>36</v>
      </c>
      <c r="I72" s="19">
        <v>8</v>
      </c>
      <c r="J72" s="18" t="s">
        <v>37</v>
      </c>
      <c r="K72" s="19" t="s">
        <v>155</v>
      </c>
      <c r="L72" s="14" t="s">
        <v>38</v>
      </c>
      <c r="M72" s="49"/>
    </row>
    <row r="73" spans="1:13" ht="13.5" hidden="1" customHeight="1">
      <c r="A73" s="14">
        <f t="shared" si="0"/>
        <v>66</v>
      </c>
      <c r="B73" s="15" t="s">
        <v>180</v>
      </c>
      <c r="C73" s="15"/>
      <c r="D73" s="2" t="s">
        <v>181</v>
      </c>
      <c r="E73" s="16">
        <v>1</v>
      </c>
      <c r="F73" s="17">
        <v>45334</v>
      </c>
      <c r="G73" s="18" t="s">
        <v>41</v>
      </c>
      <c r="H73" s="18" t="s">
        <v>36</v>
      </c>
      <c r="I73" s="19">
        <v>3</v>
      </c>
      <c r="J73" s="18" t="s">
        <v>37</v>
      </c>
      <c r="K73" s="19" t="s">
        <v>155</v>
      </c>
      <c r="L73" s="14" t="s">
        <v>38</v>
      </c>
      <c r="M73" s="49"/>
    </row>
    <row r="74" spans="1:13" ht="13.5" hidden="1" customHeight="1">
      <c r="A74" s="14">
        <f t="shared" si="0"/>
        <v>67</v>
      </c>
      <c r="B74" s="15" t="s">
        <v>182</v>
      </c>
      <c r="C74" s="15"/>
      <c r="D74" s="2" t="s">
        <v>183</v>
      </c>
      <c r="E74" s="16">
        <v>1</v>
      </c>
      <c r="F74" s="17">
        <v>45334</v>
      </c>
      <c r="G74" s="18" t="s">
        <v>41</v>
      </c>
      <c r="H74" s="18" t="s">
        <v>36</v>
      </c>
      <c r="I74" s="19">
        <v>6</v>
      </c>
      <c r="J74" s="18" t="s">
        <v>37</v>
      </c>
      <c r="K74" s="19" t="s">
        <v>155</v>
      </c>
      <c r="L74" s="14" t="s">
        <v>38</v>
      </c>
      <c r="M74" s="49"/>
    </row>
    <row r="75" spans="1:13" ht="13.5" hidden="1" customHeight="1">
      <c r="A75" s="14">
        <f t="shared" si="0"/>
        <v>68</v>
      </c>
      <c r="B75" s="15" t="s">
        <v>184</v>
      </c>
      <c r="C75" s="15"/>
      <c r="D75" s="2" t="s">
        <v>185</v>
      </c>
      <c r="E75" s="16">
        <v>1</v>
      </c>
      <c r="F75" s="17">
        <v>45334</v>
      </c>
      <c r="G75" s="18" t="s">
        <v>41</v>
      </c>
      <c r="H75" s="18" t="s">
        <v>36</v>
      </c>
      <c r="I75" s="19">
        <v>3</v>
      </c>
      <c r="J75" s="18" t="s">
        <v>37</v>
      </c>
      <c r="K75" s="19" t="s">
        <v>155</v>
      </c>
      <c r="L75" s="14" t="s">
        <v>38</v>
      </c>
      <c r="M75" s="49"/>
    </row>
    <row r="76" spans="1:13" ht="13.5" hidden="1" customHeight="1">
      <c r="A76" s="14">
        <f t="shared" si="0"/>
        <v>69</v>
      </c>
      <c r="B76" s="15" t="s">
        <v>186</v>
      </c>
      <c r="C76" s="15"/>
      <c r="D76" s="2" t="s">
        <v>187</v>
      </c>
      <c r="E76" s="16">
        <v>1</v>
      </c>
      <c r="F76" s="17">
        <v>45334</v>
      </c>
      <c r="G76" s="18" t="s">
        <v>41</v>
      </c>
      <c r="H76" s="18" t="s">
        <v>36</v>
      </c>
      <c r="I76" s="19">
        <v>3</v>
      </c>
      <c r="J76" s="18" t="s">
        <v>37</v>
      </c>
      <c r="K76" s="19" t="s">
        <v>155</v>
      </c>
      <c r="L76" s="14" t="s">
        <v>38</v>
      </c>
      <c r="M76" s="49"/>
    </row>
    <row r="77" spans="1:13" ht="13.5" hidden="1" customHeight="1">
      <c r="A77" s="14">
        <f t="shared" si="0"/>
        <v>70</v>
      </c>
      <c r="B77" s="15" t="s">
        <v>188</v>
      </c>
      <c r="C77" s="15"/>
      <c r="D77" s="2" t="s">
        <v>189</v>
      </c>
      <c r="E77" s="16">
        <v>1</v>
      </c>
      <c r="F77" s="17">
        <v>45334</v>
      </c>
      <c r="G77" s="18" t="s">
        <v>41</v>
      </c>
      <c r="H77" s="18" t="s">
        <v>36</v>
      </c>
      <c r="I77" s="19">
        <v>2</v>
      </c>
      <c r="J77" s="18" t="s">
        <v>37</v>
      </c>
      <c r="K77" s="19" t="s">
        <v>155</v>
      </c>
      <c r="L77" s="14" t="s">
        <v>38</v>
      </c>
      <c r="M77" s="49"/>
    </row>
    <row r="78" spans="1:13" ht="13.5" hidden="1" customHeight="1">
      <c r="A78" s="14">
        <f t="shared" si="0"/>
        <v>71</v>
      </c>
      <c r="B78" s="15" t="s">
        <v>190</v>
      </c>
      <c r="C78" s="15"/>
      <c r="D78" s="2" t="s">
        <v>191</v>
      </c>
      <c r="E78" s="16">
        <v>1</v>
      </c>
      <c r="F78" s="17">
        <v>45334</v>
      </c>
      <c r="G78" s="18" t="s">
        <v>41</v>
      </c>
      <c r="H78" s="18" t="s">
        <v>36</v>
      </c>
      <c r="I78" s="19">
        <v>2</v>
      </c>
      <c r="J78" s="18" t="s">
        <v>37</v>
      </c>
      <c r="K78" s="19" t="s">
        <v>155</v>
      </c>
      <c r="L78" s="14" t="s">
        <v>38</v>
      </c>
      <c r="M78" s="49"/>
    </row>
    <row r="79" spans="1:13" ht="13.5" hidden="1" customHeight="1">
      <c r="A79" s="14">
        <f t="shared" si="0"/>
        <v>72</v>
      </c>
      <c r="B79" s="15" t="s">
        <v>192</v>
      </c>
      <c r="C79" s="15"/>
      <c r="D79" s="2" t="s">
        <v>193</v>
      </c>
      <c r="E79" s="16">
        <v>1</v>
      </c>
      <c r="F79" s="17">
        <v>45334</v>
      </c>
      <c r="G79" s="18" t="s">
        <v>41</v>
      </c>
      <c r="H79" s="18" t="s">
        <v>36</v>
      </c>
      <c r="I79" s="19">
        <v>2</v>
      </c>
      <c r="J79" s="18" t="s">
        <v>37</v>
      </c>
      <c r="K79" s="19" t="s">
        <v>155</v>
      </c>
      <c r="L79" s="14" t="s">
        <v>38</v>
      </c>
      <c r="M79" s="49"/>
    </row>
    <row r="80" spans="1:13" ht="13.5" hidden="1" customHeight="1">
      <c r="A80" s="14">
        <f t="shared" si="0"/>
        <v>73</v>
      </c>
      <c r="B80" s="15" t="s">
        <v>194</v>
      </c>
      <c r="C80" s="15"/>
      <c r="D80" s="2" t="s">
        <v>195</v>
      </c>
      <c r="E80" s="16">
        <v>1</v>
      </c>
      <c r="F80" s="17">
        <v>45334</v>
      </c>
      <c r="G80" s="18" t="s">
        <v>41</v>
      </c>
      <c r="H80" s="18" t="s">
        <v>36</v>
      </c>
      <c r="I80" s="19">
        <v>3</v>
      </c>
      <c r="J80" s="18" t="s">
        <v>37</v>
      </c>
      <c r="K80" s="19" t="s">
        <v>155</v>
      </c>
      <c r="L80" s="14" t="s">
        <v>38</v>
      </c>
      <c r="M80" s="49"/>
    </row>
    <row r="81" spans="1:13" ht="13.5" hidden="1" customHeight="1">
      <c r="A81" s="14">
        <f t="shared" si="0"/>
        <v>74</v>
      </c>
      <c r="B81" s="15" t="s">
        <v>196</v>
      </c>
      <c r="C81" s="15"/>
      <c r="D81" s="2" t="s">
        <v>197</v>
      </c>
      <c r="E81" s="16">
        <v>1</v>
      </c>
      <c r="F81" s="17">
        <v>45334</v>
      </c>
      <c r="G81" s="18" t="s">
        <v>41</v>
      </c>
      <c r="H81" s="18" t="s">
        <v>36</v>
      </c>
      <c r="I81" s="19">
        <v>2</v>
      </c>
      <c r="J81" s="18" t="s">
        <v>37</v>
      </c>
      <c r="K81" s="19" t="s">
        <v>155</v>
      </c>
      <c r="L81" s="14" t="s">
        <v>38</v>
      </c>
      <c r="M81" s="49"/>
    </row>
    <row r="82" spans="1:13" ht="13.5" hidden="1" customHeight="1">
      <c r="A82" s="14">
        <f t="shared" si="0"/>
        <v>75</v>
      </c>
      <c r="B82" s="15" t="s">
        <v>198</v>
      </c>
      <c r="C82" s="15"/>
      <c r="D82" s="2" t="s">
        <v>199</v>
      </c>
      <c r="E82" s="16">
        <v>1</v>
      </c>
      <c r="F82" s="17">
        <v>45334</v>
      </c>
      <c r="G82" s="18" t="s">
        <v>41</v>
      </c>
      <c r="H82" s="18" t="s">
        <v>36</v>
      </c>
      <c r="I82" s="19">
        <v>3</v>
      </c>
      <c r="J82" s="18" t="s">
        <v>37</v>
      </c>
      <c r="K82" s="19" t="s">
        <v>155</v>
      </c>
      <c r="L82" s="14" t="s">
        <v>38</v>
      </c>
      <c r="M82" s="49"/>
    </row>
    <row r="83" spans="1:13" ht="13.5" hidden="1" customHeight="1">
      <c r="A83" s="14">
        <f t="shared" si="0"/>
        <v>76</v>
      </c>
      <c r="B83" s="15" t="s">
        <v>200</v>
      </c>
      <c r="C83" s="15"/>
      <c r="D83" s="2" t="s">
        <v>201</v>
      </c>
      <c r="E83" s="16">
        <v>1</v>
      </c>
      <c r="F83" s="17">
        <v>45334</v>
      </c>
      <c r="G83" s="18" t="s">
        <v>41</v>
      </c>
      <c r="H83" s="18" t="s">
        <v>36</v>
      </c>
      <c r="I83" s="19">
        <v>4</v>
      </c>
      <c r="J83" s="18" t="s">
        <v>37</v>
      </c>
      <c r="K83" s="19" t="s">
        <v>155</v>
      </c>
      <c r="L83" s="14" t="s">
        <v>38</v>
      </c>
      <c r="M83" s="49"/>
    </row>
    <row r="84" spans="1:13" ht="13.5" hidden="1" customHeight="1">
      <c r="A84" s="14">
        <f t="shared" si="0"/>
        <v>77</v>
      </c>
      <c r="B84" s="15" t="s">
        <v>202</v>
      </c>
      <c r="C84" s="15"/>
      <c r="D84" s="2" t="s">
        <v>203</v>
      </c>
      <c r="E84" s="16">
        <v>1</v>
      </c>
      <c r="F84" s="17">
        <v>45334</v>
      </c>
      <c r="G84" s="18" t="s">
        <v>41</v>
      </c>
      <c r="H84" s="18" t="s">
        <v>36</v>
      </c>
      <c r="I84" s="19">
        <v>11</v>
      </c>
      <c r="J84" s="18" t="s">
        <v>37</v>
      </c>
      <c r="K84" s="19" t="s">
        <v>155</v>
      </c>
      <c r="L84" s="14" t="s">
        <v>38</v>
      </c>
      <c r="M84" s="49"/>
    </row>
    <row r="85" spans="1:13" ht="13.5" hidden="1" customHeight="1">
      <c r="A85" s="14">
        <f t="shared" si="0"/>
        <v>78</v>
      </c>
      <c r="B85" s="15" t="s">
        <v>204</v>
      </c>
      <c r="C85" s="15"/>
      <c r="D85" s="2" t="s">
        <v>205</v>
      </c>
      <c r="E85" s="16">
        <v>1</v>
      </c>
      <c r="F85" s="17">
        <v>45334</v>
      </c>
      <c r="G85" s="18" t="s">
        <v>41</v>
      </c>
      <c r="H85" s="18" t="s">
        <v>36</v>
      </c>
      <c r="I85" s="19">
        <v>2</v>
      </c>
      <c r="J85" s="18" t="s">
        <v>37</v>
      </c>
      <c r="K85" s="19" t="s">
        <v>155</v>
      </c>
      <c r="L85" s="14" t="s">
        <v>38</v>
      </c>
      <c r="M85" s="49"/>
    </row>
    <row r="86" spans="1:13" ht="13.5" hidden="1" customHeight="1">
      <c r="A86" s="14">
        <f t="shared" si="0"/>
        <v>79</v>
      </c>
      <c r="B86" s="15" t="s">
        <v>206</v>
      </c>
      <c r="C86" s="15"/>
      <c r="D86" s="2" t="s">
        <v>207</v>
      </c>
      <c r="E86" s="16">
        <v>1</v>
      </c>
      <c r="F86" s="17">
        <v>45334</v>
      </c>
      <c r="G86" s="18" t="s">
        <v>41</v>
      </c>
      <c r="H86" s="18" t="s">
        <v>36</v>
      </c>
      <c r="I86" s="19">
        <v>3</v>
      </c>
      <c r="J86" s="18" t="s">
        <v>37</v>
      </c>
      <c r="K86" s="19" t="s">
        <v>155</v>
      </c>
      <c r="L86" s="14" t="s">
        <v>38</v>
      </c>
      <c r="M86" s="49"/>
    </row>
    <row r="87" spans="1:13" ht="13.5" hidden="1" customHeight="1">
      <c r="A87" s="14">
        <f t="shared" si="0"/>
        <v>80</v>
      </c>
      <c r="B87" s="15" t="s">
        <v>208</v>
      </c>
      <c r="C87" s="15"/>
      <c r="D87" s="2" t="s">
        <v>209</v>
      </c>
      <c r="E87" s="16">
        <v>1</v>
      </c>
      <c r="F87" s="17">
        <v>45334</v>
      </c>
      <c r="G87" s="18" t="s">
        <v>41</v>
      </c>
      <c r="H87" s="18" t="s">
        <v>36</v>
      </c>
      <c r="I87" s="19">
        <v>3</v>
      </c>
      <c r="J87" s="18" t="s">
        <v>37</v>
      </c>
      <c r="K87" s="19" t="s">
        <v>155</v>
      </c>
      <c r="L87" s="14" t="s">
        <v>38</v>
      </c>
      <c r="M87" s="49"/>
    </row>
    <row r="88" spans="1:13" ht="13.5" hidden="1" customHeight="1">
      <c r="A88" s="14">
        <f t="shared" si="0"/>
        <v>81</v>
      </c>
      <c r="B88" s="15" t="s">
        <v>210</v>
      </c>
      <c r="C88" s="15"/>
      <c r="D88" s="2" t="s">
        <v>211</v>
      </c>
      <c r="E88" s="16">
        <v>1</v>
      </c>
      <c r="F88" s="17">
        <v>45334</v>
      </c>
      <c r="G88" s="18" t="s">
        <v>41</v>
      </c>
      <c r="H88" s="18" t="s">
        <v>36</v>
      </c>
      <c r="I88" s="19">
        <v>8</v>
      </c>
      <c r="J88" s="18" t="s">
        <v>37</v>
      </c>
      <c r="K88" s="19" t="s">
        <v>155</v>
      </c>
      <c r="L88" s="14" t="s">
        <v>38</v>
      </c>
      <c r="M88" s="49"/>
    </row>
    <row r="89" spans="1:13" ht="13.5" hidden="1" customHeight="1">
      <c r="A89" s="14">
        <f t="shared" si="0"/>
        <v>82</v>
      </c>
      <c r="B89" s="15" t="s">
        <v>212</v>
      </c>
      <c r="C89" s="15"/>
      <c r="D89" s="2" t="s">
        <v>213</v>
      </c>
      <c r="E89" s="16">
        <v>1</v>
      </c>
      <c r="F89" s="17">
        <v>45334</v>
      </c>
      <c r="G89" s="18" t="s">
        <v>41</v>
      </c>
      <c r="H89" s="18" t="s">
        <v>36</v>
      </c>
      <c r="I89" s="19">
        <v>2</v>
      </c>
      <c r="J89" s="18" t="s">
        <v>37</v>
      </c>
      <c r="K89" s="19" t="s">
        <v>155</v>
      </c>
      <c r="L89" s="14" t="s">
        <v>38</v>
      </c>
      <c r="M89" s="49"/>
    </row>
    <row r="90" spans="1:13" ht="13.5" hidden="1" customHeight="1">
      <c r="A90" s="14">
        <f t="shared" si="0"/>
        <v>83</v>
      </c>
      <c r="B90" s="15" t="s">
        <v>214</v>
      </c>
      <c r="C90" s="15"/>
      <c r="D90" s="2" t="s">
        <v>215</v>
      </c>
      <c r="E90" s="16">
        <v>1</v>
      </c>
      <c r="F90" s="17">
        <v>45334</v>
      </c>
      <c r="G90" s="18" t="s">
        <v>41</v>
      </c>
      <c r="H90" s="18" t="s">
        <v>36</v>
      </c>
      <c r="I90" s="19">
        <v>4</v>
      </c>
      <c r="J90" s="18" t="s">
        <v>37</v>
      </c>
      <c r="K90" s="19" t="s">
        <v>155</v>
      </c>
      <c r="L90" s="14" t="s">
        <v>38</v>
      </c>
      <c r="M90" s="49"/>
    </row>
    <row r="91" spans="1:13" ht="13.5" hidden="1" customHeight="1">
      <c r="A91" s="14">
        <f t="shared" si="0"/>
        <v>84</v>
      </c>
      <c r="B91" s="15" t="s">
        <v>216</v>
      </c>
      <c r="C91" s="15"/>
      <c r="D91" s="2" t="s">
        <v>217</v>
      </c>
      <c r="E91" s="16">
        <v>1</v>
      </c>
      <c r="F91" s="17">
        <v>45334</v>
      </c>
      <c r="G91" s="18" t="s">
        <v>41</v>
      </c>
      <c r="H91" s="18" t="s">
        <v>36</v>
      </c>
      <c r="I91" s="19" t="s">
        <v>34</v>
      </c>
      <c r="J91" s="18" t="s">
        <v>37</v>
      </c>
      <c r="K91" s="19" t="s">
        <v>155</v>
      </c>
      <c r="L91" s="14" t="s">
        <v>38</v>
      </c>
      <c r="M91" s="49"/>
    </row>
    <row r="92" spans="1:13" ht="13.5" hidden="1" customHeight="1">
      <c r="A92" s="14">
        <f t="shared" si="0"/>
        <v>85</v>
      </c>
      <c r="B92" s="15" t="s">
        <v>218</v>
      </c>
      <c r="C92" s="15"/>
      <c r="D92" s="2" t="s">
        <v>219</v>
      </c>
      <c r="E92" s="16">
        <v>1</v>
      </c>
      <c r="F92" s="17">
        <v>45334</v>
      </c>
      <c r="G92" s="18" t="s">
        <v>41</v>
      </c>
      <c r="H92" s="18" t="s">
        <v>36</v>
      </c>
      <c r="I92" s="19" t="s">
        <v>34</v>
      </c>
      <c r="J92" s="18" t="s">
        <v>37</v>
      </c>
      <c r="K92" s="19" t="s">
        <v>155</v>
      </c>
      <c r="L92" s="14" t="s">
        <v>38</v>
      </c>
      <c r="M92" s="49"/>
    </row>
    <row r="93" spans="1:13" ht="13.5" hidden="1" customHeight="1">
      <c r="A93" s="14">
        <f t="shared" si="0"/>
        <v>86</v>
      </c>
      <c r="B93" s="15" t="s">
        <v>220</v>
      </c>
      <c r="C93" s="15"/>
      <c r="D93" s="2" t="s">
        <v>221</v>
      </c>
      <c r="E93" s="16">
        <v>1</v>
      </c>
      <c r="F93" s="17">
        <v>45334</v>
      </c>
      <c r="G93" s="18" t="s">
        <v>41</v>
      </c>
      <c r="H93" s="18" t="s">
        <v>36</v>
      </c>
      <c r="I93" s="19" t="s">
        <v>34</v>
      </c>
      <c r="J93" s="18" t="s">
        <v>37</v>
      </c>
      <c r="K93" s="19" t="s">
        <v>155</v>
      </c>
      <c r="L93" s="14" t="s">
        <v>38</v>
      </c>
      <c r="M93" s="49"/>
    </row>
    <row r="94" spans="1:13" ht="13.5" hidden="1" customHeight="1">
      <c r="A94" s="14">
        <f t="shared" si="0"/>
        <v>87</v>
      </c>
      <c r="B94" s="15" t="s">
        <v>222</v>
      </c>
      <c r="C94" s="15"/>
      <c r="D94" s="2" t="s">
        <v>223</v>
      </c>
      <c r="E94" s="16">
        <v>1</v>
      </c>
      <c r="F94" s="17">
        <v>45334</v>
      </c>
      <c r="G94" s="18" t="s">
        <v>41</v>
      </c>
      <c r="H94" s="18" t="s">
        <v>36</v>
      </c>
      <c r="I94" s="19" t="s">
        <v>34</v>
      </c>
      <c r="J94" s="18" t="s">
        <v>37</v>
      </c>
      <c r="K94" s="19" t="s">
        <v>155</v>
      </c>
      <c r="L94" s="14" t="s">
        <v>38</v>
      </c>
      <c r="M94" s="49"/>
    </row>
    <row r="95" spans="1:13" ht="13.5" hidden="1" customHeight="1">
      <c r="A95" s="14">
        <f t="shared" si="0"/>
        <v>88</v>
      </c>
      <c r="B95" s="15" t="s">
        <v>224</v>
      </c>
      <c r="C95" s="15"/>
      <c r="D95" s="2" t="s">
        <v>225</v>
      </c>
      <c r="E95" s="16">
        <v>1</v>
      </c>
      <c r="F95" s="17">
        <v>45334</v>
      </c>
      <c r="G95" s="18" t="s">
        <v>41</v>
      </c>
      <c r="H95" s="18" t="s">
        <v>36</v>
      </c>
      <c r="I95" s="19" t="s">
        <v>34</v>
      </c>
      <c r="J95" s="18" t="s">
        <v>37</v>
      </c>
      <c r="K95" s="19" t="s">
        <v>155</v>
      </c>
      <c r="L95" s="14" t="s">
        <v>38</v>
      </c>
      <c r="M95" s="49"/>
    </row>
    <row r="96" spans="1:13" ht="13.5" hidden="1" customHeight="1">
      <c r="A96" s="14">
        <f t="shared" si="0"/>
        <v>89</v>
      </c>
      <c r="B96" s="15" t="s">
        <v>226</v>
      </c>
      <c r="C96" s="15"/>
      <c r="D96" s="2" t="s">
        <v>227</v>
      </c>
      <c r="E96" s="16">
        <v>1</v>
      </c>
      <c r="F96" s="17">
        <v>45334</v>
      </c>
      <c r="G96" s="18" t="s">
        <v>41</v>
      </c>
      <c r="H96" s="18" t="s">
        <v>36</v>
      </c>
      <c r="I96" s="19" t="s">
        <v>34</v>
      </c>
      <c r="J96" s="18" t="s">
        <v>37</v>
      </c>
      <c r="K96" s="19" t="s">
        <v>155</v>
      </c>
      <c r="L96" s="14" t="s">
        <v>38</v>
      </c>
      <c r="M96" s="49"/>
    </row>
    <row r="97" spans="1:13" ht="13.5" hidden="1" customHeight="1">
      <c r="A97" s="14">
        <f t="shared" ref="A97:A195" si="1">ROW()-7</f>
        <v>90</v>
      </c>
      <c r="B97" s="15" t="s">
        <v>228</v>
      </c>
      <c r="C97" s="15"/>
      <c r="D97" s="2" t="s">
        <v>229</v>
      </c>
      <c r="E97" s="16">
        <v>0</v>
      </c>
      <c r="F97" s="17">
        <v>45334</v>
      </c>
      <c r="G97" s="18" t="s">
        <v>64</v>
      </c>
      <c r="H97" s="18" t="s">
        <v>36</v>
      </c>
      <c r="I97" s="19">
        <v>19</v>
      </c>
      <c r="J97" s="18" t="s">
        <v>230</v>
      </c>
      <c r="K97" s="19" t="s">
        <v>231</v>
      </c>
      <c r="L97" s="14" t="s">
        <v>38</v>
      </c>
      <c r="M97" s="49"/>
    </row>
    <row r="98" spans="1:13" ht="13.5" hidden="1" customHeight="1">
      <c r="A98" s="14">
        <f t="shared" si="1"/>
        <v>91</v>
      </c>
      <c r="B98" s="15" t="s">
        <v>232</v>
      </c>
      <c r="C98" s="15"/>
      <c r="D98" s="2" t="s">
        <v>233</v>
      </c>
      <c r="E98" s="16">
        <v>0</v>
      </c>
      <c r="F98" s="17">
        <v>45334</v>
      </c>
      <c r="G98" s="18" t="s">
        <v>64</v>
      </c>
      <c r="H98" s="18" t="s">
        <v>36</v>
      </c>
      <c r="I98" s="19">
        <v>50</v>
      </c>
      <c r="J98" s="18" t="s">
        <v>234</v>
      </c>
      <c r="K98" s="19" t="s">
        <v>231</v>
      </c>
      <c r="L98" s="14" t="s">
        <v>38</v>
      </c>
      <c r="M98" s="49"/>
    </row>
    <row r="99" spans="1:13" ht="13.5" hidden="1" customHeight="1">
      <c r="A99" s="14">
        <f t="shared" si="1"/>
        <v>92</v>
      </c>
      <c r="B99" s="15" t="s">
        <v>235</v>
      </c>
      <c r="C99" s="15"/>
      <c r="D99" s="2" t="s">
        <v>236</v>
      </c>
      <c r="E99" s="16">
        <v>0</v>
      </c>
      <c r="F99" s="17">
        <v>45334</v>
      </c>
      <c r="G99" s="18" t="s">
        <v>64</v>
      </c>
      <c r="H99" s="18" t="s">
        <v>36</v>
      </c>
      <c r="I99" s="19">
        <v>6</v>
      </c>
      <c r="J99" s="18" t="s">
        <v>237</v>
      </c>
      <c r="K99" s="19" t="s">
        <v>231</v>
      </c>
      <c r="L99" s="14" t="s">
        <v>38</v>
      </c>
      <c r="M99" s="49"/>
    </row>
    <row r="100" spans="1:13" ht="13.5" hidden="1" customHeight="1">
      <c r="A100" s="14">
        <f t="shared" si="1"/>
        <v>93</v>
      </c>
      <c r="B100" s="15" t="s">
        <v>238</v>
      </c>
      <c r="C100" s="15"/>
      <c r="D100" s="2" t="s">
        <v>239</v>
      </c>
      <c r="E100" s="16">
        <v>0</v>
      </c>
      <c r="F100" s="17">
        <v>45334</v>
      </c>
      <c r="G100" s="18" t="s">
        <v>64</v>
      </c>
      <c r="H100" s="18" t="s">
        <v>36</v>
      </c>
      <c r="I100" s="19">
        <v>14</v>
      </c>
      <c r="J100" s="18" t="s">
        <v>37</v>
      </c>
      <c r="K100" s="19" t="s">
        <v>231</v>
      </c>
      <c r="L100" s="14" t="s">
        <v>38</v>
      </c>
      <c r="M100" s="49"/>
    </row>
    <row r="101" spans="1:13" ht="13.5" hidden="1" customHeight="1">
      <c r="A101" s="14">
        <f t="shared" si="1"/>
        <v>94</v>
      </c>
      <c r="B101" s="15" t="s">
        <v>240</v>
      </c>
      <c r="C101" s="15"/>
      <c r="D101" s="2" t="s">
        <v>241</v>
      </c>
      <c r="E101" s="16">
        <v>0</v>
      </c>
      <c r="F101" s="17">
        <v>45334</v>
      </c>
      <c r="G101" s="18" t="s">
        <v>64</v>
      </c>
      <c r="H101" s="18" t="s">
        <v>36</v>
      </c>
      <c r="I101" s="19">
        <v>13</v>
      </c>
      <c r="J101" s="18" t="s">
        <v>37</v>
      </c>
      <c r="K101" s="19" t="s">
        <v>231</v>
      </c>
      <c r="L101" s="14" t="s">
        <v>38</v>
      </c>
      <c r="M101" s="49"/>
    </row>
    <row r="102" spans="1:13" ht="13.5" hidden="1" customHeight="1">
      <c r="A102" s="20">
        <f t="shared" si="1"/>
        <v>95</v>
      </c>
      <c r="B102" s="21" t="s">
        <v>242</v>
      </c>
      <c r="C102" s="21"/>
      <c r="D102" s="1" t="s">
        <v>243</v>
      </c>
      <c r="E102" s="22" t="s">
        <v>34</v>
      </c>
      <c r="F102" s="23">
        <v>45334</v>
      </c>
      <c r="G102" s="24" t="s">
        <v>11</v>
      </c>
      <c r="H102" s="24" t="s">
        <v>49</v>
      </c>
      <c r="I102" s="25" t="s">
        <v>34</v>
      </c>
      <c r="J102" s="24" t="s">
        <v>37</v>
      </c>
      <c r="K102" s="25" t="s">
        <v>231</v>
      </c>
      <c r="L102" s="20" t="s">
        <v>38</v>
      </c>
      <c r="M102" s="49"/>
    </row>
    <row r="103" spans="1:13" ht="13.5" hidden="1" customHeight="1">
      <c r="A103" s="14">
        <f t="shared" si="1"/>
        <v>96</v>
      </c>
      <c r="B103" s="15" t="s">
        <v>244</v>
      </c>
      <c r="C103" s="15"/>
      <c r="D103" s="2" t="s">
        <v>245</v>
      </c>
      <c r="E103" s="16">
        <v>5</v>
      </c>
      <c r="F103" s="17">
        <v>45334</v>
      </c>
      <c r="G103" s="18" t="s">
        <v>64</v>
      </c>
      <c r="H103" s="18" t="s">
        <v>36</v>
      </c>
      <c r="I103" s="19">
        <v>88</v>
      </c>
      <c r="J103" s="18" t="s">
        <v>246</v>
      </c>
      <c r="K103" s="19" t="s">
        <v>247</v>
      </c>
      <c r="L103" s="14" t="s">
        <v>38</v>
      </c>
      <c r="M103" s="49"/>
    </row>
    <row r="104" spans="1:13" ht="13.5" hidden="1" customHeight="1">
      <c r="A104" s="14">
        <f t="shared" si="1"/>
        <v>97</v>
      </c>
      <c r="B104" s="15" t="s">
        <v>248</v>
      </c>
      <c r="C104" s="15"/>
      <c r="D104" s="2" t="s">
        <v>249</v>
      </c>
      <c r="E104" s="16" t="s">
        <v>34</v>
      </c>
      <c r="F104" s="17">
        <v>45334</v>
      </c>
      <c r="G104" s="18" t="s">
        <v>10</v>
      </c>
      <c r="H104" s="18" t="s">
        <v>36</v>
      </c>
      <c r="I104" s="19">
        <v>31</v>
      </c>
      <c r="J104" s="18" t="s">
        <v>246</v>
      </c>
      <c r="K104" s="19" t="s">
        <v>247</v>
      </c>
      <c r="L104" s="14" t="s">
        <v>38</v>
      </c>
      <c r="M104" s="49"/>
    </row>
    <row r="105" spans="1:13" ht="13.5" hidden="1" customHeight="1">
      <c r="A105" s="14">
        <f t="shared" si="1"/>
        <v>98</v>
      </c>
      <c r="B105" s="15" t="s">
        <v>250</v>
      </c>
      <c r="C105" s="15"/>
      <c r="D105" s="2" t="s">
        <v>251</v>
      </c>
      <c r="E105" s="16" t="s">
        <v>34</v>
      </c>
      <c r="F105" s="17">
        <v>45334</v>
      </c>
      <c r="G105" s="18" t="s">
        <v>64</v>
      </c>
      <c r="H105" s="18" t="s">
        <v>36</v>
      </c>
      <c r="I105" s="19">
        <v>89</v>
      </c>
      <c r="J105" s="18" t="s">
        <v>246</v>
      </c>
      <c r="K105" s="19" t="s">
        <v>247</v>
      </c>
      <c r="L105" s="14" t="s">
        <v>38</v>
      </c>
      <c r="M105" s="49"/>
    </row>
    <row r="106" spans="1:13" ht="13.5" hidden="1" customHeight="1">
      <c r="A106" s="14">
        <f t="shared" si="1"/>
        <v>99</v>
      </c>
      <c r="B106" s="15" t="s">
        <v>252</v>
      </c>
      <c r="C106" s="15"/>
      <c r="D106" s="2" t="s">
        <v>253</v>
      </c>
      <c r="E106" s="16">
        <v>3</v>
      </c>
      <c r="F106" s="17">
        <v>45334</v>
      </c>
      <c r="G106" s="18" t="s">
        <v>64</v>
      </c>
      <c r="H106" s="18" t="s">
        <v>36</v>
      </c>
      <c r="I106" s="19">
        <v>22</v>
      </c>
      <c r="J106" s="18" t="s">
        <v>230</v>
      </c>
      <c r="K106" s="19" t="s">
        <v>254</v>
      </c>
      <c r="L106" s="14" t="s">
        <v>38</v>
      </c>
      <c r="M106" s="49"/>
    </row>
    <row r="107" spans="1:13" ht="13.5" hidden="1" customHeight="1">
      <c r="A107" s="14">
        <f t="shared" si="1"/>
        <v>100</v>
      </c>
      <c r="B107" s="15" t="s">
        <v>255</v>
      </c>
      <c r="C107" s="15"/>
      <c r="D107" s="2" t="s">
        <v>256</v>
      </c>
      <c r="E107" s="16">
        <v>1</v>
      </c>
      <c r="F107" s="17">
        <v>45334</v>
      </c>
      <c r="G107" s="18" t="s">
        <v>152</v>
      </c>
      <c r="H107" s="18" t="s">
        <v>36</v>
      </c>
      <c r="I107" s="19">
        <v>15</v>
      </c>
      <c r="J107" s="18" t="s">
        <v>230</v>
      </c>
      <c r="K107" s="19" t="s">
        <v>254</v>
      </c>
      <c r="L107" s="14" t="s">
        <v>38</v>
      </c>
      <c r="M107" s="49"/>
    </row>
    <row r="108" spans="1:13" ht="13.5" hidden="1" customHeight="1">
      <c r="A108" s="14">
        <f t="shared" si="1"/>
        <v>101</v>
      </c>
      <c r="B108" s="15" t="s">
        <v>257</v>
      </c>
      <c r="C108" s="15"/>
      <c r="D108" s="2" t="s">
        <v>258</v>
      </c>
      <c r="E108" s="16">
        <v>1</v>
      </c>
      <c r="F108" s="17">
        <v>45334</v>
      </c>
      <c r="G108" s="18" t="s">
        <v>152</v>
      </c>
      <c r="H108" s="18" t="s">
        <v>36</v>
      </c>
      <c r="I108" s="19">
        <v>12</v>
      </c>
      <c r="J108" s="18" t="s">
        <v>230</v>
      </c>
      <c r="K108" s="19" t="s">
        <v>254</v>
      </c>
      <c r="L108" s="14" t="s">
        <v>38</v>
      </c>
      <c r="M108" s="49"/>
    </row>
    <row r="109" spans="1:13" ht="13.5" hidden="1" customHeight="1">
      <c r="A109" s="14">
        <f t="shared" si="1"/>
        <v>102</v>
      </c>
      <c r="B109" s="15" t="s">
        <v>259</v>
      </c>
      <c r="C109" s="15"/>
      <c r="D109" s="2" t="s">
        <v>260</v>
      </c>
      <c r="E109" s="16">
        <v>1</v>
      </c>
      <c r="F109" s="17">
        <v>45334</v>
      </c>
      <c r="G109" s="18" t="s">
        <v>64</v>
      </c>
      <c r="H109" s="18" t="s">
        <v>36</v>
      </c>
      <c r="I109" s="19">
        <v>7</v>
      </c>
      <c r="J109" s="18" t="s">
        <v>230</v>
      </c>
      <c r="K109" s="19" t="s">
        <v>254</v>
      </c>
      <c r="L109" s="14" t="s">
        <v>38</v>
      </c>
      <c r="M109" s="49"/>
    </row>
    <row r="110" spans="1:13" ht="13.5" hidden="1" customHeight="1">
      <c r="A110" s="14">
        <f t="shared" si="1"/>
        <v>103</v>
      </c>
      <c r="B110" s="15" t="s">
        <v>261</v>
      </c>
      <c r="C110" s="15"/>
      <c r="D110" s="2" t="s">
        <v>262</v>
      </c>
      <c r="E110" s="16">
        <v>1</v>
      </c>
      <c r="F110" s="17">
        <v>45334</v>
      </c>
      <c r="G110" s="18" t="s">
        <v>64</v>
      </c>
      <c r="H110" s="18" t="s">
        <v>36</v>
      </c>
      <c r="I110" s="19">
        <v>6</v>
      </c>
      <c r="J110" s="18" t="s">
        <v>230</v>
      </c>
      <c r="K110" s="19" t="s">
        <v>254</v>
      </c>
      <c r="L110" s="14" t="s">
        <v>38</v>
      </c>
      <c r="M110" s="49"/>
    </row>
    <row r="111" spans="1:13" ht="13.5" hidden="1" customHeight="1">
      <c r="A111" s="14">
        <f t="shared" si="1"/>
        <v>104</v>
      </c>
      <c r="B111" s="15" t="s">
        <v>263</v>
      </c>
      <c r="C111" s="15"/>
      <c r="D111" s="2" t="s">
        <v>264</v>
      </c>
      <c r="E111" s="16">
        <v>1</v>
      </c>
      <c r="F111" s="17">
        <v>45334</v>
      </c>
      <c r="G111" s="18" t="s">
        <v>64</v>
      </c>
      <c r="H111" s="18" t="s">
        <v>36</v>
      </c>
      <c r="I111" s="19">
        <v>6</v>
      </c>
      <c r="J111" s="18" t="s">
        <v>230</v>
      </c>
      <c r="K111" s="19" t="s">
        <v>254</v>
      </c>
      <c r="L111" s="14" t="s">
        <v>38</v>
      </c>
      <c r="M111" s="49"/>
    </row>
    <row r="112" spans="1:13" ht="13.5" hidden="1" customHeight="1">
      <c r="A112" s="14">
        <f t="shared" si="1"/>
        <v>105</v>
      </c>
      <c r="B112" s="15" t="s">
        <v>265</v>
      </c>
      <c r="C112" s="15"/>
      <c r="D112" s="2" t="s">
        <v>266</v>
      </c>
      <c r="E112" s="16">
        <v>1</v>
      </c>
      <c r="F112" s="17">
        <v>45334</v>
      </c>
      <c r="G112" s="18" t="s">
        <v>64</v>
      </c>
      <c r="H112" s="18" t="s">
        <v>36</v>
      </c>
      <c r="I112" s="19">
        <v>12</v>
      </c>
      <c r="J112" s="18" t="s">
        <v>230</v>
      </c>
      <c r="K112" s="19" t="s">
        <v>254</v>
      </c>
      <c r="L112" s="14" t="s">
        <v>38</v>
      </c>
      <c r="M112" s="49"/>
    </row>
    <row r="113" spans="1:13" ht="13.5" hidden="1" customHeight="1">
      <c r="A113" s="14">
        <f t="shared" si="1"/>
        <v>106</v>
      </c>
      <c r="B113" s="15" t="s">
        <v>267</v>
      </c>
      <c r="C113" s="15"/>
      <c r="D113" s="2" t="s">
        <v>268</v>
      </c>
      <c r="E113" s="16">
        <v>1</v>
      </c>
      <c r="F113" s="17">
        <v>45334</v>
      </c>
      <c r="G113" s="18" t="s">
        <v>64</v>
      </c>
      <c r="H113" s="18" t="s">
        <v>36</v>
      </c>
      <c r="I113" s="19">
        <v>14</v>
      </c>
      <c r="J113" s="18" t="s">
        <v>230</v>
      </c>
      <c r="K113" s="19" t="s">
        <v>254</v>
      </c>
      <c r="L113" s="14" t="s">
        <v>38</v>
      </c>
      <c r="M113" s="49"/>
    </row>
    <row r="114" spans="1:13" ht="13.5" hidden="1" customHeight="1">
      <c r="A114" s="14">
        <f t="shared" si="1"/>
        <v>107</v>
      </c>
      <c r="B114" s="15" t="s">
        <v>269</v>
      </c>
      <c r="C114" s="15"/>
      <c r="D114" s="2" t="s">
        <v>270</v>
      </c>
      <c r="E114" s="16">
        <v>2</v>
      </c>
      <c r="F114" s="17">
        <v>45334</v>
      </c>
      <c r="G114" s="18" t="s">
        <v>94</v>
      </c>
      <c r="H114" s="18" t="s">
        <v>36</v>
      </c>
      <c r="I114" s="19">
        <v>25</v>
      </c>
      <c r="J114" s="18" t="s">
        <v>230</v>
      </c>
      <c r="K114" s="19" t="s">
        <v>254</v>
      </c>
      <c r="L114" s="14" t="s">
        <v>38</v>
      </c>
      <c r="M114" s="49"/>
    </row>
    <row r="115" spans="1:13" ht="13.5" hidden="1" customHeight="1">
      <c r="A115" s="10"/>
      <c r="B115" s="11" t="s">
        <v>271</v>
      </c>
      <c r="C115" s="11"/>
      <c r="D115" s="11"/>
      <c r="E115" s="12"/>
      <c r="F115" s="11"/>
      <c r="G115" s="11"/>
      <c r="H115" s="12"/>
      <c r="I115" s="12"/>
      <c r="J115" s="11"/>
      <c r="K115" s="13"/>
      <c r="L115" s="50"/>
      <c r="M115" s="49"/>
    </row>
    <row r="116" spans="1:13" ht="13.5" hidden="1" customHeight="1">
      <c r="A116" s="14">
        <f t="shared" si="1"/>
        <v>109</v>
      </c>
      <c r="B116" s="15" t="s">
        <v>272</v>
      </c>
      <c r="C116" s="15"/>
      <c r="D116" s="2" t="s">
        <v>273</v>
      </c>
      <c r="E116" s="16" t="s">
        <v>34</v>
      </c>
      <c r="F116" s="17">
        <v>45336</v>
      </c>
      <c r="G116" s="18" t="s">
        <v>35</v>
      </c>
      <c r="H116" s="18" t="s">
        <v>36</v>
      </c>
      <c r="I116" s="19" t="s">
        <v>34</v>
      </c>
      <c r="J116" s="18" t="s">
        <v>37</v>
      </c>
      <c r="K116" s="19"/>
      <c r="L116" s="14" t="s">
        <v>38</v>
      </c>
      <c r="M116" s="49"/>
    </row>
    <row r="117" spans="1:13" ht="13.5" hidden="1" customHeight="1">
      <c r="A117" s="14">
        <f t="shared" si="1"/>
        <v>110</v>
      </c>
      <c r="B117" s="15" t="s">
        <v>274</v>
      </c>
      <c r="C117" s="15"/>
      <c r="D117" s="2" t="s">
        <v>275</v>
      </c>
      <c r="E117" s="16" t="s">
        <v>34</v>
      </c>
      <c r="F117" s="17">
        <v>45336</v>
      </c>
      <c r="G117" s="18" t="s">
        <v>35</v>
      </c>
      <c r="H117" s="18" t="s">
        <v>36</v>
      </c>
      <c r="I117" s="19" t="s">
        <v>34</v>
      </c>
      <c r="J117" s="18" t="s">
        <v>37</v>
      </c>
      <c r="K117" s="19"/>
      <c r="L117" s="14" t="s">
        <v>38</v>
      </c>
      <c r="M117" s="49"/>
    </row>
    <row r="118" spans="1:13" ht="13.5" hidden="1" customHeight="1">
      <c r="A118" s="20">
        <f t="shared" si="1"/>
        <v>111</v>
      </c>
      <c r="B118" s="21" t="s">
        <v>276</v>
      </c>
      <c r="C118" s="21"/>
      <c r="D118" s="1" t="s">
        <v>277</v>
      </c>
      <c r="E118" s="22" t="s">
        <v>34</v>
      </c>
      <c r="F118" s="23">
        <v>45336</v>
      </c>
      <c r="G118" s="24" t="s">
        <v>11</v>
      </c>
      <c r="H118" s="24" t="s">
        <v>49</v>
      </c>
      <c r="I118" s="25" t="s">
        <v>34</v>
      </c>
      <c r="J118" s="24" t="s">
        <v>37</v>
      </c>
      <c r="K118" s="25"/>
      <c r="L118" s="20" t="s">
        <v>38</v>
      </c>
      <c r="M118" s="49"/>
    </row>
    <row r="119" spans="1:13" ht="13.5" customHeight="1">
      <c r="A119" s="14">
        <f t="shared" si="1"/>
        <v>112</v>
      </c>
      <c r="B119" s="15" t="s">
        <v>278</v>
      </c>
      <c r="C119" s="15" t="s">
        <v>279</v>
      </c>
      <c r="D119" s="2" t="s">
        <v>280</v>
      </c>
      <c r="E119" s="16" t="s">
        <v>34</v>
      </c>
      <c r="F119" s="17">
        <v>45336</v>
      </c>
      <c r="G119" s="18" t="s">
        <v>12</v>
      </c>
      <c r="H119" s="18" t="s">
        <v>36</v>
      </c>
      <c r="I119" s="19" t="s">
        <v>34</v>
      </c>
      <c r="J119" s="18" t="s">
        <v>37</v>
      </c>
      <c r="K119" s="19"/>
      <c r="L119" s="14" t="s">
        <v>281</v>
      </c>
      <c r="M119" s="49" t="e">
        <f>+VLOOKUP(C119,'[1]Table 1'!$B:$B,1,0)</f>
        <v>#N/A</v>
      </c>
    </row>
    <row r="120" spans="1:13" ht="13.5" hidden="1" customHeight="1">
      <c r="A120" s="26">
        <f t="shared" si="1"/>
        <v>113</v>
      </c>
      <c r="B120" s="27" t="s">
        <v>143</v>
      </c>
      <c r="C120" s="27"/>
      <c r="D120" s="28" t="s">
        <v>144</v>
      </c>
      <c r="E120" s="29">
        <v>2</v>
      </c>
      <c r="F120" s="30">
        <v>45336</v>
      </c>
      <c r="G120" s="31" t="s">
        <v>145</v>
      </c>
      <c r="H120" s="31" t="s">
        <v>36</v>
      </c>
      <c r="I120" s="32">
        <v>45</v>
      </c>
      <c r="J120" s="31" t="s">
        <v>37</v>
      </c>
      <c r="K120" s="32" t="s">
        <v>282</v>
      </c>
      <c r="L120" s="14" t="s">
        <v>38</v>
      </c>
      <c r="M120" s="49"/>
    </row>
    <row r="121" spans="1:13" ht="13.5" hidden="1" customHeight="1">
      <c r="A121" s="26">
        <f t="shared" si="1"/>
        <v>114</v>
      </c>
      <c r="B121" s="27" t="s">
        <v>147</v>
      </c>
      <c r="C121" s="27"/>
      <c r="D121" s="28" t="s">
        <v>148</v>
      </c>
      <c r="E121" s="29">
        <v>2</v>
      </c>
      <c r="F121" s="30">
        <v>45336</v>
      </c>
      <c r="G121" s="31" t="s">
        <v>94</v>
      </c>
      <c r="H121" s="31" t="s">
        <v>36</v>
      </c>
      <c r="I121" s="32">
        <v>11</v>
      </c>
      <c r="J121" s="31" t="s">
        <v>37</v>
      </c>
      <c r="K121" s="32" t="s">
        <v>283</v>
      </c>
      <c r="L121" s="14" t="s">
        <v>38</v>
      </c>
      <c r="M121" s="49"/>
    </row>
    <row r="122" spans="1:13" ht="13.5" hidden="1" customHeight="1">
      <c r="A122" s="26">
        <f t="shared" si="1"/>
        <v>115</v>
      </c>
      <c r="B122" s="27" t="s">
        <v>150</v>
      </c>
      <c r="C122" s="27"/>
      <c r="D122" s="28" t="s">
        <v>151</v>
      </c>
      <c r="E122" s="29">
        <v>1</v>
      </c>
      <c r="F122" s="30">
        <v>45334</v>
      </c>
      <c r="G122" s="31" t="s">
        <v>152</v>
      </c>
      <c r="H122" s="31" t="s">
        <v>36</v>
      </c>
      <c r="I122" s="32">
        <v>58</v>
      </c>
      <c r="J122" s="31" t="s">
        <v>37</v>
      </c>
      <c r="K122" s="32" t="s">
        <v>283</v>
      </c>
      <c r="L122" s="14" t="s">
        <v>38</v>
      </c>
      <c r="M122" s="49"/>
    </row>
    <row r="123" spans="1:13" ht="13.5" hidden="1" customHeight="1">
      <c r="A123" s="26">
        <f t="shared" si="1"/>
        <v>116</v>
      </c>
      <c r="B123" s="27" t="s">
        <v>228</v>
      </c>
      <c r="C123" s="27"/>
      <c r="D123" s="28" t="s">
        <v>229</v>
      </c>
      <c r="E123" s="29">
        <v>0</v>
      </c>
      <c r="F123" s="30">
        <v>45336</v>
      </c>
      <c r="G123" s="31" t="s">
        <v>64</v>
      </c>
      <c r="H123" s="31" t="s">
        <v>36</v>
      </c>
      <c r="I123" s="32">
        <v>19</v>
      </c>
      <c r="J123" s="31" t="s">
        <v>230</v>
      </c>
      <c r="K123" s="32" t="s">
        <v>284</v>
      </c>
      <c r="L123" s="14" t="s">
        <v>38</v>
      </c>
      <c r="M123" s="49"/>
    </row>
    <row r="124" spans="1:13" ht="13.5" hidden="1" customHeight="1">
      <c r="A124" s="26">
        <f t="shared" si="1"/>
        <v>117</v>
      </c>
      <c r="B124" s="27" t="s">
        <v>232</v>
      </c>
      <c r="C124" s="27"/>
      <c r="D124" s="28" t="s">
        <v>233</v>
      </c>
      <c r="E124" s="29">
        <v>0</v>
      </c>
      <c r="F124" s="30">
        <v>45336</v>
      </c>
      <c r="G124" s="31" t="s">
        <v>64</v>
      </c>
      <c r="H124" s="31" t="s">
        <v>36</v>
      </c>
      <c r="I124" s="32">
        <v>50</v>
      </c>
      <c r="J124" s="31" t="s">
        <v>234</v>
      </c>
      <c r="K124" s="32" t="s">
        <v>284</v>
      </c>
      <c r="L124" s="14" t="s">
        <v>38</v>
      </c>
      <c r="M124" s="49"/>
    </row>
    <row r="125" spans="1:13" ht="13.5" hidden="1" customHeight="1">
      <c r="A125" s="26">
        <f t="shared" si="1"/>
        <v>118</v>
      </c>
      <c r="B125" s="27" t="s">
        <v>235</v>
      </c>
      <c r="C125" s="27"/>
      <c r="D125" s="28" t="s">
        <v>236</v>
      </c>
      <c r="E125" s="29">
        <v>0</v>
      </c>
      <c r="F125" s="30">
        <v>45336</v>
      </c>
      <c r="G125" s="31" t="s">
        <v>64</v>
      </c>
      <c r="H125" s="31" t="s">
        <v>36</v>
      </c>
      <c r="I125" s="32">
        <v>6</v>
      </c>
      <c r="J125" s="31" t="s">
        <v>237</v>
      </c>
      <c r="K125" s="32" t="s">
        <v>284</v>
      </c>
      <c r="L125" s="14" t="s">
        <v>38</v>
      </c>
      <c r="M125" s="49"/>
    </row>
    <row r="126" spans="1:13" ht="13.5" hidden="1" customHeight="1">
      <c r="A126" s="26">
        <f t="shared" si="1"/>
        <v>119</v>
      </c>
      <c r="B126" s="27" t="s">
        <v>238</v>
      </c>
      <c r="C126" s="27"/>
      <c r="D126" s="28" t="s">
        <v>239</v>
      </c>
      <c r="E126" s="29">
        <v>0</v>
      </c>
      <c r="F126" s="30">
        <v>45336</v>
      </c>
      <c r="G126" s="31" t="s">
        <v>64</v>
      </c>
      <c r="H126" s="31" t="s">
        <v>36</v>
      </c>
      <c r="I126" s="32">
        <v>14</v>
      </c>
      <c r="J126" s="31" t="s">
        <v>37</v>
      </c>
      <c r="K126" s="32" t="s">
        <v>284</v>
      </c>
      <c r="L126" s="14" t="s">
        <v>38</v>
      </c>
      <c r="M126" s="49"/>
    </row>
    <row r="127" spans="1:13" ht="13.5" hidden="1" customHeight="1">
      <c r="A127" s="26">
        <f t="shared" si="1"/>
        <v>120</v>
      </c>
      <c r="B127" s="27" t="s">
        <v>240</v>
      </c>
      <c r="C127" s="27"/>
      <c r="D127" s="28" t="s">
        <v>241</v>
      </c>
      <c r="E127" s="29">
        <v>0</v>
      </c>
      <c r="F127" s="30">
        <v>45336</v>
      </c>
      <c r="G127" s="31" t="s">
        <v>64</v>
      </c>
      <c r="H127" s="31" t="s">
        <v>36</v>
      </c>
      <c r="I127" s="32">
        <v>13</v>
      </c>
      <c r="J127" s="31" t="s">
        <v>37</v>
      </c>
      <c r="K127" s="32" t="s">
        <v>284</v>
      </c>
      <c r="L127" s="14" t="s">
        <v>38</v>
      </c>
      <c r="M127" s="49"/>
    </row>
    <row r="128" spans="1:13" ht="13.5" hidden="1" customHeight="1">
      <c r="A128" s="20">
        <f t="shared" si="1"/>
        <v>121</v>
      </c>
      <c r="B128" s="21" t="s">
        <v>242</v>
      </c>
      <c r="C128" s="21"/>
      <c r="D128" s="1" t="s">
        <v>243</v>
      </c>
      <c r="E128" s="22" t="s">
        <v>34</v>
      </c>
      <c r="F128" s="23">
        <v>45336</v>
      </c>
      <c r="G128" s="24" t="s">
        <v>11</v>
      </c>
      <c r="H128" s="24" t="s">
        <v>49</v>
      </c>
      <c r="I128" s="25" t="s">
        <v>34</v>
      </c>
      <c r="J128" s="24" t="s">
        <v>37</v>
      </c>
      <c r="K128" s="25" t="s">
        <v>284</v>
      </c>
      <c r="L128" s="20" t="s">
        <v>38</v>
      </c>
      <c r="M128" s="49"/>
    </row>
    <row r="129" spans="1:13" ht="13.5" hidden="1" customHeight="1">
      <c r="A129" s="26">
        <f t="shared" si="1"/>
        <v>122</v>
      </c>
      <c r="B129" s="27" t="s">
        <v>252</v>
      </c>
      <c r="C129" s="27"/>
      <c r="D129" s="28" t="s">
        <v>253</v>
      </c>
      <c r="E129" s="29">
        <v>3</v>
      </c>
      <c r="F129" s="30">
        <v>45336</v>
      </c>
      <c r="G129" s="31" t="s">
        <v>64</v>
      </c>
      <c r="H129" s="31" t="s">
        <v>36</v>
      </c>
      <c r="I129" s="32">
        <v>22</v>
      </c>
      <c r="J129" s="31" t="s">
        <v>230</v>
      </c>
      <c r="K129" s="32" t="s">
        <v>285</v>
      </c>
      <c r="L129" s="14" t="s">
        <v>38</v>
      </c>
      <c r="M129" s="49"/>
    </row>
    <row r="130" spans="1:13" ht="13.5" hidden="1" customHeight="1">
      <c r="A130" s="26">
        <f t="shared" si="1"/>
        <v>123</v>
      </c>
      <c r="B130" s="27" t="s">
        <v>255</v>
      </c>
      <c r="C130" s="27"/>
      <c r="D130" s="28" t="s">
        <v>256</v>
      </c>
      <c r="E130" s="29">
        <v>1</v>
      </c>
      <c r="F130" s="30">
        <v>45336</v>
      </c>
      <c r="G130" s="31" t="s">
        <v>152</v>
      </c>
      <c r="H130" s="31" t="s">
        <v>36</v>
      </c>
      <c r="I130" s="32">
        <v>15</v>
      </c>
      <c r="J130" s="31" t="s">
        <v>230</v>
      </c>
      <c r="K130" s="32" t="s">
        <v>285</v>
      </c>
      <c r="L130" s="14" t="s">
        <v>38</v>
      </c>
      <c r="M130" s="49"/>
    </row>
    <row r="131" spans="1:13" ht="13.5" hidden="1" customHeight="1">
      <c r="A131" s="26">
        <f t="shared" si="1"/>
        <v>124</v>
      </c>
      <c r="B131" s="27" t="s">
        <v>257</v>
      </c>
      <c r="C131" s="27"/>
      <c r="D131" s="28" t="s">
        <v>258</v>
      </c>
      <c r="E131" s="29">
        <v>1</v>
      </c>
      <c r="F131" s="30">
        <v>45336</v>
      </c>
      <c r="G131" s="31" t="s">
        <v>152</v>
      </c>
      <c r="H131" s="31" t="s">
        <v>36</v>
      </c>
      <c r="I131" s="32">
        <v>12</v>
      </c>
      <c r="J131" s="31" t="s">
        <v>230</v>
      </c>
      <c r="K131" s="32" t="s">
        <v>285</v>
      </c>
      <c r="L131" s="14" t="s">
        <v>38</v>
      </c>
      <c r="M131" s="49"/>
    </row>
    <row r="132" spans="1:13" ht="13.5" hidden="1" customHeight="1">
      <c r="A132" s="26">
        <f t="shared" si="1"/>
        <v>125</v>
      </c>
      <c r="B132" s="27" t="s">
        <v>259</v>
      </c>
      <c r="C132" s="27"/>
      <c r="D132" s="28" t="s">
        <v>260</v>
      </c>
      <c r="E132" s="29">
        <v>1</v>
      </c>
      <c r="F132" s="30">
        <v>45336</v>
      </c>
      <c r="G132" s="31" t="s">
        <v>64</v>
      </c>
      <c r="H132" s="31" t="s">
        <v>36</v>
      </c>
      <c r="I132" s="32">
        <v>7</v>
      </c>
      <c r="J132" s="31" t="s">
        <v>230</v>
      </c>
      <c r="K132" s="32" t="s">
        <v>285</v>
      </c>
      <c r="L132" s="14" t="s">
        <v>38</v>
      </c>
      <c r="M132" s="49"/>
    </row>
    <row r="133" spans="1:13" ht="13.5" hidden="1" customHeight="1">
      <c r="A133" s="26">
        <f t="shared" si="1"/>
        <v>126</v>
      </c>
      <c r="B133" s="27" t="s">
        <v>261</v>
      </c>
      <c r="C133" s="27"/>
      <c r="D133" s="28" t="s">
        <v>262</v>
      </c>
      <c r="E133" s="29">
        <v>1</v>
      </c>
      <c r="F133" s="30">
        <v>45336</v>
      </c>
      <c r="G133" s="31" t="s">
        <v>64</v>
      </c>
      <c r="H133" s="31" t="s">
        <v>36</v>
      </c>
      <c r="I133" s="32">
        <v>6</v>
      </c>
      <c r="J133" s="31" t="s">
        <v>230</v>
      </c>
      <c r="K133" s="32" t="s">
        <v>285</v>
      </c>
      <c r="L133" s="14" t="s">
        <v>38</v>
      </c>
      <c r="M133" s="49"/>
    </row>
    <row r="134" spans="1:13" ht="13.5" hidden="1" customHeight="1">
      <c r="A134" s="26">
        <f t="shared" si="1"/>
        <v>127</v>
      </c>
      <c r="B134" s="27" t="s">
        <v>263</v>
      </c>
      <c r="C134" s="27"/>
      <c r="D134" s="28" t="s">
        <v>264</v>
      </c>
      <c r="E134" s="29">
        <v>1</v>
      </c>
      <c r="F134" s="30">
        <v>45336</v>
      </c>
      <c r="G134" s="31" t="s">
        <v>64</v>
      </c>
      <c r="H134" s="31" t="s">
        <v>36</v>
      </c>
      <c r="I134" s="32">
        <v>6</v>
      </c>
      <c r="J134" s="31" t="s">
        <v>230</v>
      </c>
      <c r="K134" s="32" t="s">
        <v>285</v>
      </c>
      <c r="L134" s="14" t="s">
        <v>38</v>
      </c>
      <c r="M134" s="49"/>
    </row>
    <row r="135" spans="1:13" ht="13.5" hidden="1" customHeight="1">
      <c r="A135" s="26">
        <f t="shared" si="1"/>
        <v>128</v>
      </c>
      <c r="B135" s="27" t="s">
        <v>265</v>
      </c>
      <c r="C135" s="27"/>
      <c r="D135" s="28" t="s">
        <v>266</v>
      </c>
      <c r="E135" s="29">
        <v>1</v>
      </c>
      <c r="F135" s="30">
        <v>45336</v>
      </c>
      <c r="G135" s="31" t="s">
        <v>64</v>
      </c>
      <c r="H135" s="31" t="s">
        <v>36</v>
      </c>
      <c r="I135" s="32">
        <v>12</v>
      </c>
      <c r="J135" s="31" t="s">
        <v>230</v>
      </c>
      <c r="K135" s="32" t="s">
        <v>285</v>
      </c>
      <c r="L135" s="14" t="s">
        <v>38</v>
      </c>
      <c r="M135" s="49"/>
    </row>
    <row r="136" spans="1:13" ht="13.5" hidden="1" customHeight="1">
      <c r="A136" s="26">
        <f t="shared" si="1"/>
        <v>129</v>
      </c>
      <c r="B136" s="27" t="s">
        <v>267</v>
      </c>
      <c r="C136" s="27"/>
      <c r="D136" s="28" t="s">
        <v>268</v>
      </c>
      <c r="E136" s="29">
        <v>1</v>
      </c>
      <c r="F136" s="30">
        <v>45336</v>
      </c>
      <c r="G136" s="31" t="s">
        <v>64</v>
      </c>
      <c r="H136" s="31" t="s">
        <v>36</v>
      </c>
      <c r="I136" s="32">
        <v>14</v>
      </c>
      <c r="J136" s="31" t="s">
        <v>230</v>
      </c>
      <c r="K136" s="32" t="s">
        <v>285</v>
      </c>
      <c r="L136" s="14" t="s">
        <v>38</v>
      </c>
      <c r="M136" s="49"/>
    </row>
    <row r="137" spans="1:13" ht="13.5" hidden="1" customHeight="1">
      <c r="A137" s="26">
        <f t="shared" si="1"/>
        <v>130</v>
      </c>
      <c r="B137" s="27" t="s">
        <v>269</v>
      </c>
      <c r="C137" s="27"/>
      <c r="D137" s="28" t="s">
        <v>270</v>
      </c>
      <c r="E137" s="29">
        <v>2</v>
      </c>
      <c r="F137" s="30">
        <v>45336</v>
      </c>
      <c r="G137" s="31" t="s">
        <v>94</v>
      </c>
      <c r="H137" s="31" t="s">
        <v>36</v>
      </c>
      <c r="I137" s="32">
        <v>25</v>
      </c>
      <c r="J137" s="31" t="s">
        <v>230</v>
      </c>
      <c r="K137" s="32" t="s">
        <v>285</v>
      </c>
      <c r="L137" s="14" t="s">
        <v>38</v>
      </c>
      <c r="M137" s="49"/>
    </row>
    <row r="138" spans="1:13" ht="13.5" hidden="1" customHeight="1">
      <c r="A138" s="14">
        <f t="shared" si="1"/>
        <v>131</v>
      </c>
      <c r="B138" s="15" t="s">
        <v>286</v>
      </c>
      <c r="C138" s="15" t="s">
        <v>287</v>
      </c>
      <c r="D138" s="2" t="s">
        <v>288</v>
      </c>
      <c r="E138" s="16">
        <v>1</v>
      </c>
      <c r="F138" s="17">
        <v>45336</v>
      </c>
      <c r="G138" s="18" t="s">
        <v>14</v>
      </c>
      <c r="H138" s="18" t="s">
        <v>36</v>
      </c>
      <c r="I138" s="19">
        <v>1</v>
      </c>
      <c r="J138" s="18" t="s">
        <v>289</v>
      </c>
      <c r="K138" s="19" t="s">
        <v>290</v>
      </c>
      <c r="L138" s="14" t="s">
        <v>281</v>
      </c>
      <c r="M138" s="49" t="str">
        <f>+VLOOKUP(C138,'[1]Table 1'!$B:$B,1,0)</f>
        <v>4600022667-001-03350-100AR-00001</v>
      </c>
    </row>
    <row r="139" spans="1:13" ht="13.5" hidden="1" customHeight="1">
      <c r="A139" s="14">
        <f t="shared" si="1"/>
        <v>132</v>
      </c>
      <c r="B139" s="15" t="s">
        <v>291</v>
      </c>
      <c r="C139" s="15" t="s">
        <v>292</v>
      </c>
      <c r="D139" s="2" t="s">
        <v>293</v>
      </c>
      <c r="E139" s="16">
        <v>2</v>
      </c>
      <c r="F139" s="17">
        <v>45336</v>
      </c>
      <c r="G139" s="18" t="s">
        <v>14</v>
      </c>
      <c r="H139" s="18" t="s">
        <v>36</v>
      </c>
      <c r="I139" s="19">
        <v>1</v>
      </c>
      <c r="J139" s="18" t="s">
        <v>289</v>
      </c>
      <c r="K139" s="19" t="s">
        <v>290</v>
      </c>
      <c r="L139" s="14" t="s">
        <v>281</v>
      </c>
      <c r="M139" s="49" t="str">
        <f>+VLOOKUP(C139,'[1]Table 1'!$B:$B,1,0)</f>
        <v>4600022667-001-03350-100AR-00002</v>
      </c>
    </row>
    <row r="140" spans="1:13" ht="13.5" hidden="1" customHeight="1">
      <c r="A140" s="14">
        <f t="shared" si="1"/>
        <v>133</v>
      </c>
      <c r="B140" s="15" t="s">
        <v>294</v>
      </c>
      <c r="C140" s="15" t="s">
        <v>295</v>
      </c>
      <c r="D140" s="2" t="s">
        <v>296</v>
      </c>
      <c r="E140" s="16">
        <v>2</v>
      </c>
      <c r="F140" s="17">
        <v>45336</v>
      </c>
      <c r="G140" s="18" t="s">
        <v>14</v>
      </c>
      <c r="H140" s="18" t="s">
        <v>36</v>
      </c>
      <c r="I140" s="19">
        <v>1</v>
      </c>
      <c r="J140" s="18" t="s">
        <v>289</v>
      </c>
      <c r="K140" s="19" t="s">
        <v>290</v>
      </c>
      <c r="L140" s="14" t="s">
        <v>281</v>
      </c>
      <c r="M140" s="49" t="str">
        <f>+VLOOKUP(C140,'[1]Table 1'!$B:$B,1,0)</f>
        <v>4600022667-001-03350-100AR-00003</v>
      </c>
    </row>
    <row r="141" spans="1:13" ht="13.5" hidden="1" customHeight="1">
      <c r="A141" s="14">
        <f t="shared" si="1"/>
        <v>134</v>
      </c>
      <c r="B141" s="15" t="s">
        <v>297</v>
      </c>
      <c r="C141" s="15" t="s">
        <v>298</v>
      </c>
      <c r="D141" s="2" t="s">
        <v>299</v>
      </c>
      <c r="E141" s="16">
        <v>2</v>
      </c>
      <c r="F141" s="17">
        <v>45336</v>
      </c>
      <c r="G141" s="18" t="s">
        <v>14</v>
      </c>
      <c r="H141" s="18" t="s">
        <v>36</v>
      </c>
      <c r="I141" s="19">
        <v>1</v>
      </c>
      <c r="J141" s="18" t="s">
        <v>289</v>
      </c>
      <c r="K141" s="19" t="s">
        <v>290</v>
      </c>
      <c r="L141" s="14" t="s">
        <v>281</v>
      </c>
      <c r="M141" s="49" t="str">
        <f>+VLOOKUP(C141,'[1]Table 1'!$B:$B,1,0)</f>
        <v>4600022667-001-03350-300AR-00001</v>
      </c>
    </row>
    <row r="142" spans="1:13" ht="13.5" hidden="1" customHeight="1">
      <c r="A142" s="14">
        <f t="shared" si="1"/>
        <v>135</v>
      </c>
      <c r="B142" s="15" t="s">
        <v>300</v>
      </c>
      <c r="C142" s="15" t="s">
        <v>301</v>
      </c>
      <c r="D142" s="2" t="s">
        <v>302</v>
      </c>
      <c r="E142" s="16">
        <v>2</v>
      </c>
      <c r="F142" s="17">
        <v>45336</v>
      </c>
      <c r="G142" s="18" t="s">
        <v>14</v>
      </c>
      <c r="H142" s="18" t="s">
        <v>36</v>
      </c>
      <c r="I142" s="19">
        <v>1</v>
      </c>
      <c r="J142" s="18" t="s">
        <v>289</v>
      </c>
      <c r="K142" s="19" t="s">
        <v>290</v>
      </c>
      <c r="L142" s="14" t="s">
        <v>281</v>
      </c>
      <c r="M142" s="49" t="str">
        <f>+VLOOKUP(C142,'[1]Table 1'!$B:$B,1,0)</f>
        <v>4600022667-001-03350-300AR-00002</v>
      </c>
    </row>
    <row r="143" spans="1:13" ht="13.5" hidden="1" customHeight="1">
      <c r="A143" s="14">
        <f t="shared" si="1"/>
        <v>136</v>
      </c>
      <c r="B143" s="15" t="s">
        <v>303</v>
      </c>
      <c r="C143" s="15" t="s">
        <v>304</v>
      </c>
      <c r="D143" s="2" t="s">
        <v>305</v>
      </c>
      <c r="E143" s="16">
        <v>1</v>
      </c>
      <c r="F143" s="17">
        <v>45336</v>
      </c>
      <c r="G143" s="18" t="s">
        <v>14</v>
      </c>
      <c r="H143" s="18" t="s">
        <v>36</v>
      </c>
      <c r="I143" s="19">
        <v>1</v>
      </c>
      <c r="J143" s="18" t="s">
        <v>289</v>
      </c>
      <c r="K143" s="19" t="s">
        <v>290</v>
      </c>
      <c r="L143" s="14" t="s">
        <v>281</v>
      </c>
      <c r="M143" s="49" t="str">
        <f>+VLOOKUP(C143,'[1]Table 1'!$B:$B,1,0)</f>
        <v>4600022667-001-03350-300AR-00003</v>
      </c>
    </row>
    <row r="144" spans="1:13" ht="13.5" hidden="1" customHeight="1">
      <c r="A144" s="14">
        <f t="shared" si="1"/>
        <v>137</v>
      </c>
      <c r="B144" s="15" t="s">
        <v>306</v>
      </c>
      <c r="C144" s="15" t="s">
        <v>307</v>
      </c>
      <c r="D144" s="2" t="s">
        <v>308</v>
      </c>
      <c r="E144" s="16">
        <v>0</v>
      </c>
      <c r="F144" s="17">
        <v>45336</v>
      </c>
      <c r="G144" s="18" t="s">
        <v>14</v>
      </c>
      <c r="H144" s="18" t="s">
        <v>36</v>
      </c>
      <c r="I144" s="19">
        <v>1</v>
      </c>
      <c r="J144" s="18" t="s">
        <v>289</v>
      </c>
      <c r="K144" s="19" t="s">
        <v>290</v>
      </c>
      <c r="L144" s="14" t="s">
        <v>281</v>
      </c>
      <c r="M144" s="49" t="str">
        <f>+VLOOKUP(C144,'[1]Table 1'!$B:$B,1,0)</f>
        <v>4600022667-001-03350-300AR-00004</v>
      </c>
    </row>
    <row r="145" spans="1:13" ht="13.5" hidden="1" customHeight="1">
      <c r="A145" s="14">
        <f t="shared" si="1"/>
        <v>138</v>
      </c>
      <c r="B145" s="15" t="s">
        <v>309</v>
      </c>
      <c r="C145" s="15" t="s">
        <v>310</v>
      </c>
      <c r="D145" s="2" t="s">
        <v>311</v>
      </c>
      <c r="E145" s="16">
        <v>0</v>
      </c>
      <c r="F145" s="17">
        <v>45336</v>
      </c>
      <c r="G145" s="18" t="s">
        <v>14</v>
      </c>
      <c r="H145" s="18" t="s">
        <v>36</v>
      </c>
      <c r="I145" s="19">
        <v>1</v>
      </c>
      <c r="J145" s="18" t="s">
        <v>289</v>
      </c>
      <c r="K145" s="19" t="s">
        <v>290</v>
      </c>
      <c r="L145" s="14" t="s">
        <v>281</v>
      </c>
      <c r="M145" s="49" t="str">
        <f>+VLOOKUP(C145,'[1]Table 1'!$B:$B,1,0)</f>
        <v>4600022667-001-03350-300AR-00005</v>
      </c>
    </row>
    <row r="146" spans="1:13" ht="13.5" hidden="1" customHeight="1">
      <c r="A146" s="14">
        <f t="shared" si="1"/>
        <v>139</v>
      </c>
      <c r="B146" s="15" t="s">
        <v>312</v>
      </c>
      <c r="C146" s="15" t="s">
        <v>313</v>
      </c>
      <c r="D146" s="2" t="s">
        <v>314</v>
      </c>
      <c r="E146" s="16">
        <v>0</v>
      </c>
      <c r="F146" s="17">
        <v>45336</v>
      </c>
      <c r="G146" s="18" t="s">
        <v>8</v>
      </c>
      <c r="H146" s="18" t="s">
        <v>36</v>
      </c>
      <c r="I146" s="19">
        <v>12</v>
      </c>
      <c r="J146" s="18" t="s">
        <v>289</v>
      </c>
      <c r="K146" s="19" t="s">
        <v>290</v>
      </c>
      <c r="L146" s="14" t="s">
        <v>281</v>
      </c>
      <c r="M146" s="49" t="str">
        <f>+VLOOKUP(C146,'[1]Table 1'!$B:$B,1,0)</f>
        <v>4600022667-001-03350-ESPAR-00001</v>
      </c>
    </row>
    <row r="147" spans="1:13" ht="13.5" hidden="1" customHeight="1">
      <c r="A147" s="14">
        <f t="shared" si="1"/>
        <v>140</v>
      </c>
      <c r="B147" s="15" t="s">
        <v>315</v>
      </c>
      <c r="C147" s="15" t="s">
        <v>316</v>
      </c>
      <c r="D147" s="2" t="s">
        <v>317</v>
      </c>
      <c r="E147" s="16">
        <v>0</v>
      </c>
      <c r="F147" s="17">
        <v>45336</v>
      </c>
      <c r="G147" s="18" t="s">
        <v>8</v>
      </c>
      <c r="H147" s="18" t="s">
        <v>36</v>
      </c>
      <c r="I147" s="19">
        <v>19</v>
      </c>
      <c r="J147" s="18" t="s">
        <v>289</v>
      </c>
      <c r="K147" s="19" t="s">
        <v>290</v>
      </c>
      <c r="L147" s="14" t="s">
        <v>281</v>
      </c>
      <c r="M147" s="49" t="str">
        <f>+VLOOKUP(C147,'[1]Table 1'!$B:$B,1,0)</f>
        <v>4600022667-001-03350-ESPAR-00002</v>
      </c>
    </row>
    <row r="148" spans="1:13" ht="13.5" hidden="1" customHeight="1">
      <c r="A148" s="14">
        <f t="shared" si="1"/>
        <v>141</v>
      </c>
      <c r="B148" s="15" t="s">
        <v>318</v>
      </c>
      <c r="C148" s="15" t="s">
        <v>319</v>
      </c>
      <c r="D148" s="2" t="s">
        <v>320</v>
      </c>
      <c r="E148" s="16">
        <v>0</v>
      </c>
      <c r="F148" s="17">
        <v>45336</v>
      </c>
      <c r="G148" s="18" t="s">
        <v>8</v>
      </c>
      <c r="H148" s="18" t="s">
        <v>36</v>
      </c>
      <c r="I148" s="19">
        <v>19</v>
      </c>
      <c r="J148" s="18" t="s">
        <v>289</v>
      </c>
      <c r="K148" s="19" t="s">
        <v>290</v>
      </c>
      <c r="L148" s="14" t="s">
        <v>281</v>
      </c>
      <c r="M148" s="49" t="str">
        <f>+VLOOKUP(C148,'[1]Table 1'!$B:$B,1,0)</f>
        <v>4600022667-001-03350-ESPAR-00003</v>
      </c>
    </row>
    <row r="149" spans="1:13" ht="13.5" hidden="1" customHeight="1">
      <c r="A149" s="14">
        <f t="shared" si="1"/>
        <v>142</v>
      </c>
      <c r="B149" s="15" t="s">
        <v>321</v>
      </c>
      <c r="C149" s="15" t="s">
        <v>322</v>
      </c>
      <c r="D149" s="2" t="s">
        <v>323</v>
      </c>
      <c r="E149" s="16">
        <v>0</v>
      </c>
      <c r="F149" s="17">
        <v>45336</v>
      </c>
      <c r="G149" s="18" t="s">
        <v>14</v>
      </c>
      <c r="H149" s="18" t="s">
        <v>36</v>
      </c>
      <c r="I149" s="19">
        <v>1</v>
      </c>
      <c r="J149" s="18" t="s">
        <v>324</v>
      </c>
      <c r="K149" s="19" t="s">
        <v>325</v>
      </c>
      <c r="L149" s="14" t="s">
        <v>281</v>
      </c>
      <c r="M149" s="49" t="str">
        <f>+VLOOKUP(C149,'[1]Table 1'!$B:$B,1,0)</f>
        <v>4600022667-001-03350-002AT-00001</v>
      </c>
    </row>
    <row r="150" spans="1:13" ht="13.5" hidden="1" customHeight="1">
      <c r="A150" s="14">
        <f t="shared" si="1"/>
        <v>143</v>
      </c>
      <c r="B150" s="15" t="s">
        <v>326</v>
      </c>
      <c r="C150" s="15" t="s">
        <v>327</v>
      </c>
      <c r="D150" s="2" t="s">
        <v>328</v>
      </c>
      <c r="E150" s="16">
        <v>0</v>
      </c>
      <c r="F150" s="17">
        <v>45336</v>
      </c>
      <c r="G150" s="18" t="s">
        <v>14</v>
      </c>
      <c r="H150" s="18" t="s">
        <v>36</v>
      </c>
      <c r="I150" s="19">
        <v>1</v>
      </c>
      <c r="J150" s="18" t="s">
        <v>324</v>
      </c>
      <c r="K150" s="19" t="s">
        <v>325</v>
      </c>
      <c r="L150" s="14" t="s">
        <v>281</v>
      </c>
      <c r="M150" s="49" t="str">
        <f>+VLOOKUP(C150,'[1]Table 1'!$B:$B,1,0)</f>
        <v>4600022667-001-03350-002AT-00002</v>
      </c>
    </row>
    <row r="151" spans="1:13" ht="13.5" hidden="1" customHeight="1">
      <c r="A151" s="14">
        <f t="shared" si="1"/>
        <v>144</v>
      </c>
      <c r="B151" s="15" t="s">
        <v>329</v>
      </c>
      <c r="C151" s="15" t="s">
        <v>330</v>
      </c>
      <c r="D151" s="2" t="s">
        <v>331</v>
      </c>
      <c r="E151" s="16">
        <v>0</v>
      </c>
      <c r="F151" s="17">
        <v>45336</v>
      </c>
      <c r="G151" s="18" t="s">
        <v>14</v>
      </c>
      <c r="H151" s="18" t="s">
        <v>36</v>
      </c>
      <c r="I151" s="19">
        <v>1</v>
      </c>
      <c r="J151" s="18" t="s">
        <v>324</v>
      </c>
      <c r="K151" s="19" t="s">
        <v>325</v>
      </c>
      <c r="L151" s="14" t="s">
        <v>281</v>
      </c>
      <c r="M151" s="49" t="str">
        <f>+VLOOKUP(C151,'[1]Table 1'!$B:$B,1,0)</f>
        <v>4600022667-001-03350-002AT-00003</v>
      </c>
    </row>
    <row r="152" spans="1:13" ht="13.5" hidden="1" customHeight="1">
      <c r="A152" s="14">
        <f t="shared" si="1"/>
        <v>145</v>
      </c>
      <c r="B152" s="15" t="s">
        <v>332</v>
      </c>
      <c r="C152" s="15" t="s">
        <v>333</v>
      </c>
      <c r="D152" s="2" t="s">
        <v>334</v>
      </c>
      <c r="E152" s="16" t="s">
        <v>335</v>
      </c>
      <c r="F152" s="17">
        <v>45336</v>
      </c>
      <c r="G152" s="18" t="s">
        <v>14</v>
      </c>
      <c r="H152" s="18" t="s">
        <v>36</v>
      </c>
      <c r="I152" s="19">
        <v>1</v>
      </c>
      <c r="J152" s="18" t="s">
        <v>324</v>
      </c>
      <c r="K152" s="19" t="s">
        <v>325</v>
      </c>
      <c r="L152" s="14" t="s">
        <v>281</v>
      </c>
      <c r="M152" s="49" t="str">
        <f>+VLOOKUP(C152,'[1]Table 1'!$B:$B,1,0)</f>
        <v>4600022667-001-03350-105AT-00001</v>
      </c>
    </row>
    <row r="153" spans="1:13" ht="13.5" hidden="1" customHeight="1">
      <c r="A153" s="14">
        <f t="shared" si="1"/>
        <v>146</v>
      </c>
      <c r="B153" s="15" t="s">
        <v>336</v>
      </c>
      <c r="C153" s="15" t="s">
        <v>337</v>
      </c>
      <c r="D153" s="2" t="s">
        <v>338</v>
      </c>
      <c r="E153" s="16" t="s">
        <v>335</v>
      </c>
      <c r="F153" s="17">
        <v>45336</v>
      </c>
      <c r="G153" s="18" t="s">
        <v>14</v>
      </c>
      <c r="H153" s="18" t="s">
        <v>36</v>
      </c>
      <c r="I153" s="19">
        <v>1</v>
      </c>
      <c r="J153" s="18" t="s">
        <v>324</v>
      </c>
      <c r="K153" s="19" t="s">
        <v>325</v>
      </c>
      <c r="L153" s="14" t="s">
        <v>281</v>
      </c>
      <c r="M153" s="49" t="str">
        <f>+VLOOKUP(C153,'[1]Table 1'!$B:$B,1,0)</f>
        <v>4600022667-001-03350-105AT-00002</v>
      </c>
    </row>
    <row r="154" spans="1:13" ht="13.5" hidden="1" customHeight="1">
      <c r="A154" s="14">
        <f t="shared" si="1"/>
        <v>147</v>
      </c>
      <c r="B154" s="15" t="s">
        <v>339</v>
      </c>
      <c r="C154" s="15" t="s">
        <v>340</v>
      </c>
      <c r="D154" s="2" t="s">
        <v>341</v>
      </c>
      <c r="E154" s="16" t="s">
        <v>335</v>
      </c>
      <c r="F154" s="17">
        <v>45336</v>
      </c>
      <c r="G154" s="18" t="s">
        <v>14</v>
      </c>
      <c r="H154" s="18" t="s">
        <v>36</v>
      </c>
      <c r="I154" s="19">
        <v>1</v>
      </c>
      <c r="J154" s="18" t="s">
        <v>324</v>
      </c>
      <c r="K154" s="19" t="s">
        <v>325</v>
      </c>
      <c r="L154" s="14" t="s">
        <v>281</v>
      </c>
      <c r="M154" s="49" t="str">
        <f>+VLOOKUP(C154,'[1]Table 1'!$B:$B,1,0)</f>
        <v>4600022667-001-03350-105AT-00003</v>
      </c>
    </row>
    <row r="155" spans="1:13" ht="13.5" hidden="1" customHeight="1">
      <c r="A155" s="14">
        <f t="shared" si="1"/>
        <v>148</v>
      </c>
      <c r="B155" s="15" t="s">
        <v>342</v>
      </c>
      <c r="C155" s="15" t="s">
        <v>343</v>
      </c>
      <c r="D155" s="2" t="s">
        <v>344</v>
      </c>
      <c r="E155" s="16">
        <v>2</v>
      </c>
      <c r="F155" s="17">
        <v>45336</v>
      </c>
      <c r="G155" s="18" t="s">
        <v>14</v>
      </c>
      <c r="H155" s="18" t="s">
        <v>36</v>
      </c>
      <c r="I155" s="19">
        <v>1</v>
      </c>
      <c r="J155" s="18" t="s">
        <v>324</v>
      </c>
      <c r="K155" s="19" t="s">
        <v>325</v>
      </c>
      <c r="L155" s="14" t="s">
        <v>281</v>
      </c>
      <c r="M155" s="49" t="str">
        <f>+VLOOKUP(C155,'[1]Table 1'!$B:$B,1,0)</f>
        <v>4600022667-001-03350-202AT-00001</v>
      </c>
    </row>
    <row r="156" spans="1:13" ht="13.5" hidden="1" customHeight="1">
      <c r="A156" s="14">
        <f t="shared" si="1"/>
        <v>149</v>
      </c>
      <c r="B156" s="15" t="s">
        <v>345</v>
      </c>
      <c r="C156" s="15" t="s">
        <v>346</v>
      </c>
      <c r="D156" s="2" t="s">
        <v>347</v>
      </c>
      <c r="E156" s="16">
        <v>2</v>
      </c>
      <c r="F156" s="17">
        <v>45336</v>
      </c>
      <c r="G156" s="18" t="s">
        <v>14</v>
      </c>
      <c r="H156" s="18" t="s">
        <v>36</v>
      </c>
      <c r="I156" s="19">
        <v>1</v>
      </c>
      <c r="J156" s="18" t="s">
        <v>324</v>
      </c>
      <c r="K156" s="19" t="s">
        <v>325</v>
      </c>
      <c r="L156" s="14" t="s">
        <v>281</v>
      </c>
      <c r="M156" s="49" t="str">
        <f>+VLOOKUP(C156,'[1]Table 1'!$B:$B,1,0)</f>
        <v>4600022667-001-03350-202AT-00002</v>
      </c>
    </row>
    <row r="157" spans="1:13" ht="13.5" hidden="1" customHeight="1">
      <c r="A157" s="14">
        <f t="shared" si="1"/>
        <v>150</v>
      </c>
      <c r="B157" s="15" t="s">
        <v>348</v>
      </c>
      <c r="C157" s="15" t="s">
        <v>349</v>
      </c>
      <c r="D157" s="2" t="s">
        <v>350</v>
      </c>
      <c r="E157" s="16">
        <v>0</v>
      </c>
      <c r="F157" s="17">
        <v>45336</v>
      </c>
      <c r="G157" s="18" t="s">
        <v>14</v>
      </c>
      <c r="H157" s="18" t="s">
        <v>36</v>
      </c>
      <c r="I157" s="19">
        <v>1</v>
      </c>
      <c r="J157" s="18" t="s">
        <v>324</v>
      </c>
      <c r="K157" s="19" t="s">
        <v>325</v>
      </c>
      <c r="L157" s="14" t="s">
        <v>281</v>
      </c>
      <c r="M157" s="49" t="str">
        <f>+VLOOKUP(C157,'[1]Table 1'!$B:$B,1,0)</f>
        <v>4600022667-001-03350-208AT-00001</v>
      </c>
    </row>
    <row r="158" spans="1:13" ht="13.5" hidden="1" customHeight="1">
      <c r="A158" s="14">
        <f t="shared" si="1"/>
        <v>151</v>
      </c>
      <c r="B158" s="15" t="s">
        <v>351</v>
      </c>
      <c r="C158" s="15" t="s">
        <v>352</v>
      </c>
      <c r="D158" s="2" t="s">
        <v>353</v>
      </c>
      <c r="E158" s="16">
        <v>2</v>
      </c>
      <c r="F158" s="17">
        <v>45336</v>
      </c>
      <c r="G158" s="18" t="s">
        <v>14</v>
      </c>
      <c r="H158" s="18" t="s">
        <v>36</v>
      </c>
      <c r="I158" s="19">
        <v>1</v>
      </c>
      <c r="J158" s="18" t="s">
        <v>324</v>
      </c>
      <c r="K158" s="19" t="s">
        <v>325</v>
      </c>
      <c r="L158" s="14" t="s">
        <v>281</v>
      </c>
      <c r="M158" s="49" t="str">
        <f>+VLOOKUP(C158,'[1]Table 1'!$B:$B,1,0)</f>
        <v>4600022667-001-03350-221AT-00001</v>
      </c>
    </row>
    <row r="159" spans="1:13" ht="13.5" hidden="1" customHeight="1">
      <c r="A159" s="14">
        <f t="shared" si="1"/>
        <v>152</v>
      </c>
      <c r="B159" s="15" t="s">
        <v>354</v>
      </c>
      <c r="C159" s="15" t="s">
        <v>355</v>
      </c>
      <c r="D159" s="2" t="s">
        <v>356</v>
      </c>
      <c r="E159" s="16" t="s">
        <v>335</v>
      </c>
      <c r="F159" s="17">
        <v>45336</v>
      </c>
      <c r="G159" s="18" t="s">
        <v>14</v>
      </c>
      <c r="H159" s="18" t="s">
        <v>36</v>
      </c>
      <c r="I159" s="19">
        <v>1</v>
      </c>
      <c r="J159" s="18" t="s">
        <v>324</v>
      </c>
      <c r="K159" s="19" t="s">
        <v>325</v>
      </c>
      <c r="L159" s="14" t="s">
        <v>281</v>
      </c>
      <c r="M159" s="49" t="str">
        <f>+VLOOKUP(C159,'[1]Table 1'!$B:$B,1,0)</f>
        <v>4600022667-001-03350-221AT-00002</v>
      </c>
    </row>
    <row r="160" spans="1:13" ht="13.5" hidden="1" customHeight="1">
      <c r="A160" s="14">
        <f t="shared" si="1"/>
        <v>153</v>
      </c>
      <c r="B160" s="15" t="s">
        <v>357</v>
      </c>
      <c r="C160" s="15" t="s">
        <v>358</v>
      </c>
      <c r="D160" s="2" t="s">
        <v>359</v>
      </c>
      <c r="E160" s="16">
        <v>0</v>
      </c>
      <c r="F160" s="17">
        <v>45336</v>
      </c>
      <c r="G160" s="18" t="s">
        <v>14</v>
      </c>
      <c r="H160" s="18" t="s">
        <v>36</v>
      </c>
      <c r="I160" s="19">
        <v>1</v>
      </c>
      <c r="J160" s="18" t="s">
        <v>324</v>
      </c>
      <c r="K160" s="19" t="s">
        <v>325</v>
      </c>
      <c r="L160" s="14" t="s">
        <v>281</v>
      </c>
      <c r="M160" s="49" t="str">
        <f>+VLOOKUP(C160,'[1]Table 1'!$B:$B,1,0)</f>
        <v>4600022667-001-03350-221AT-00003</v>
      </c>
    </row>
    <row r="161" spans="1:13" ht="13.5" hidden="1" customHeight="1">
      <c r="A161" s="20">
        <f t="shared" si="1"/>
        <v>154</v>
      </c>
      <c r="B161" s="21" t="s">
        <v>360</v>
      </c>
      <c r="C161" s="21" t="s">
        <v>361</v>
      </c>
      <c r="D161" s="1" t="s">
        <v>362</v>
      </c>
      <c r="E161" s="22" t="s">
        <v>363</v>
      </c>
      <c r="F161" s="23">
        <v>45336</v>
      </c>
      <c r="G161" s="24" t="s">
        <v>14</v>
      </c>
      <c r="H161" s="24" t="s">
        <v>364</v>
      </c>
      <c r="I161" s="25">
        <v>1</v>
      </c>
      <c r="J161" s="24" t="s">
        <v>324</v>
      </c>
      <c r="K161" s="25" t="s">
        <v>325</v>
      </c>
      <c r="L161" s="14" t="s">
        <v>38</v>
      </c>
      <c r="M161" s="49" t="e">
        <f>+VLOOKUP(C161,'[1]Table 1'!$B:$B,1,0)</f>
        <v>#N/A</v>
      </c>
    </row>
    <row r="162" spans="1:13" ht="13.5" hidden="1" customHeight="1">
      <c r="A162" s="14">
        <f t="shared" si="1"/>
        <v>155</v>
      </c>
      <c r="B162" s="15" t="s">
        <v>365</v>
      </c>
      <c r="C162" s="15" t="s">
        <v>366</v>
      </c>
      <c r="D162" s="2" t="s">
        <v>367</v>
      </c>
      <c r="E162" s="16" t="s">
        <v>335</v>
      </c>
      <c r="F162" s="17">
        <v>45336</v>
      </c>
      <c r="G162" s="18" t="s">
        <v>14</v>
      </c>
      <c r="H162" s="18" t="s">
        <v>36</v>
      </c>
      <c r="I162" s="19">
        <v>1</v>
      </c>
      <c r="J162" s="18" t="s">
        <v>324</v>
      </c>
      <c r="K162" s="19" t="s">
        <v>325</v>
      </c>
      <c r="L162" s="14" t="s">
        <v>281</v>
      </c>
      <c r="M162" s="49" t="str">
        <f>+VLOOKUP(C162,'[1]Table 1'!$B:$B,1,0)</f>
        <v>4600022667-001-03350-226AT-00001</v>
      </c>
    </row>
    <row r="163" spans="1:13" ht="13.5" hidden="1" customHeight="1">
      <c r="A163" s="14">
        <f t="shared" si="1"/>
        <v>156</v>
      </c>
      <c r="B163" s="15" t="s">
        <v>368</v>
      </c>
      <c r="C163" s="15" t="s">
        <v>369</v>
      </c>
      <c r="D163" s="2" t="s">
        <v>370</v>
      </c>
      <c r="E163" s="16" t="s">
        <v>335</v>
      </c>
      <c r="F163" s="17">
        <v>45336</v>
      </c>
      <c r="G163" s="18" t="s">
        <v>14</v>
      </c>
      <c r="H163" s="18" t="s">
        <v>36</v>
      </c>
      <c r="I163" s="19">
        <v>1</v>
      </c>
      <c r="J163" s="18" t="s">
        <v>324</v>
      </c>
      <c r="K163" s="19" t="s">
        <v>325</v>
      </c>
      <c r="L163" s="14" t="s">
        <v>281</v>
      </c>
      <c r="M163" s="49" t="str">
        <f>+VLOOKUP(C163,'[1]Table 1'!$B:$B,1,0)</f>
        <v>4600022667-001-03350-226AT-00002</v>
      </c>
    </row>
    <row r="164" spans="1:13" ht="13.5" hidden="1" customHeight="1">
      <c r="A164" s="14">
        <f t="shared" si="1"/>
        <v>157</v>
      </c>
      <c r="B164" s="15" t="s">
        <v>371</v>
      </c>
      <c r="C164" s="15" t="s">
        <v>372</v>
      </c>
      <c r="D164" s="2" t="s">
        <v>373</v>
      </c>
      <c r="E164" s="16" t="s">
        <v>335</v>
      </c>
      <c r="F164" s="17">
        <v>45336</v>
      </c>
      <c r="G164" s="18" t="s">
        <v>14</v>
      </c>
      <c r="H164" s="18" t="s">
        <v>36</v>
      </c>
      <c r="I164" s="19">
        <v>1</v>
      </c>
      <c r="J164" s="18" t="s">
        <v>324</v>
      </c>
      <c r="K164" s="19" t="s">
        <v>325</v>
      </c>
      <c r="L164" s="14" t="s">
        <v>281</v>
      </c>
      <c r="M164" s="49" t="str">
        <f>+VLOOKUP(C164,'[1]Table 1'!$B:$B,1,0)</f>
        <v>4600022667-001-03350-226AT-00003</v>
      </c>
    </row>
    <row r="165" spans="1:13" ht="13.5" hidden="1" customHeight="1">
      <c r="A165" s="14">
        <f t="shared" si="1"/>
        <v>158</v>
      </c>
      <c r="B165" s="15" t="s">
        <v>374</v>
      </c>
      <c r="C165" s="15" t="s">
        <v>375</v>
      </c>
      <c r="D165" s="2" t="s">
        <v>376</v>
      </c>
      <c r="E165" s="16" t="s">
        <v>335</v>
      </c>
      <c r="F165" s="17">
        <v>45336</v>
      </c>
      <c r="G165" s="18" t="s">
        <v>14</v>
      </c>
      <c r="H165" s="18" t="s">
        <v>36</v>
      </c>
      <c r="I165" s="19">
        <v>1</v>
      </c>
      <c r="J165" s="18" t="s">
        <v>324</v>
      </c>
      <c r="K165" s="19" t="s">
        <v>325</v>
      </c>
      <c r="L165" s="14" t="s">
        <v>281</v>
      </c>
      <c r="M165" s="49" t="str">
        <f>+VLOOKUP(C165,'[1]Table 1'!$B:$B,1,0)</f>
        <v>4600022667-001-03350-226AT-00004</v>
      </c>
    </row>
    <row r="166" spans="1:13" ht="13.5" hidden="1" customHeight="1">
      <c r="A166" s="14">
        <f t="shared" si="1"/>
        <v>159</v>
      </c>
      <c r="B166" s="15" t="s">
        <v>377</v>
      </c>
      <c r="C166" s="15" t="s">
        <v>378</v>
      </c>
      <c r="D166" s="2" t="s">
        <v>379</v>
      </c>
      <c r="E166" s="16" t="s">
        <v>335</v>
      </c>
      <c r="F166" s="17">
        <v>45336</v>
      </c>
      <c r="G166" s="18" t="s">
        <v>14</v>
      </c>
      <c r="H166" s="18" t="s">
        <v>36</v>
      </c>
      <c r="I166" s="19">
        <v>1</v>
      </c>
      <c r="J166" s="18" t="s">
        <v>324</v>
      </c>
      <c r="K166" s="19" t="s">
        <v>325</v>
      </c>
      <c r="L166" s="14" t="s">
        <v>281</v>
      </c>
      <c r="M166" s="49" t="str">
        <f>+VLOOKUP(C166,'[1]Table 1'!$B:$B,1,0)</f>
        <v>4600022667-001-03350-226AT-00005</v>
      </c>
    </row>
    <row r="167" spans="1:13" ht="13.5" hidden="1" customHeight="1">
      <c r="A167" s="14">
        <f t="shared" si="1"/>
        <v>160</v>
      </c>
      <c r="B167" s="15" t="s">
        <v>380</v>
      </c>
      <c r="C167" s="15" t="s">
        <v>381</v>
      </c>
      <c r="D167" s="2" t="s">
        <v>382</v>
      </c>
      <c r="E167" s="16" t="s">
        <v>335</v>
      </c>
      <c r="F167" s="17">
        <v>45336</v>
      </c>
      <c r="G167" s="18" t="s">
        <v>14</v>
      </c>
      <c r="H167" s="18" t="s">
        <v>36</v>
      </c>
      <c r="I167" s="19">
        <v>1</v>
      </c>
      <c r="J167" s="18" t="s">
        <v>324</v>
      </c>
      <c r="K167" s="19" t="s">
        <v>325</v>
      </c>
      <c r="L167" s="14" t="s">
        <v>281</v>
      </c>
      <c r="M167" s="49" t="str">
        <f>+VLOOKUP(C167,'[1]Table 1'!$B:$B,1,0)</f>
        <v>4600022667-001-03350-226AT-00006</v>
      </c>
    </row>
    <row r="168" spans="1:13" ht="13.5" hidden="1" customHeight="1">
      <c r="A168" s="14">
        <f t="shared" si="1"/>
        <v>161</v>
      </c>
      <c r="B168" s="15" t="s">
        <v>383</v>
      </c>
      <c r="C168" s="15" t="s">
        <v>384</v>
      </c>
      <c r="D168" s="2" t="s">
        <v>385</v>
      </c>
      <c r="E168" s="16" t="s">
        <v>335</v>
      </c>
      <c r="F168" s="17">
        <v>45336</v>
      </c>
      <c r="G168" s="18" t="s">
        <v>14</v>
      </c>
      <c r="H168" s="18" t="s">
        <v>36</v>
      </c>
      <c r="I168" s="19">
        <v>1</v>
      </c>
      <c r="J168" s="18" t="s">
        <v>324</v>
      </c>
      <c r="K168" s="19" t="s">
        <v>325</v>
      </c>
      <c r="L168" s="14" t="s">
        <v>281</v>
      </c>
      <c r="M168" s="49" t="str">
        <f>+VLOOKUP(C168,'[1]Table 1'!$B:$B,1,0)</f>
        <v>4600022667-001-03350-226AT-00007</v>
      </c>
    </row>
    <row r="169" spans="1:13" ht="13.5" hidden="1" customHeight="1">
      <c r="A169" s="14">
        <f t="shared" si="1"/>
        <v>162</v>
      </c>
      <c r="B169" s="15" t="s">
        <v>386</v>
      </c>
      <c r="C169" s="15" t="s">
        <v>387</v>
      </c>
      <c r="D169" s="2" t="s">
        <v>388</v>
      </c>
      <c r="E169" s="16" t="s">
        <v>335</v>
      </c>
      <c r="F169" s="17">
        <v>45336</v>
      </c>
      <c r="G169" s="18" t="s">
        <v>14</v>
      </c>
      <c r="H169" s="18" t="s">
        <v>36</v>
      </c>
      <c r="I169" s="19">
        <v>1</v>
      </c>
      <c r="J169" s="18" t="s">
        <v>324</v>
      </c>
      <c r="K169" s="19" t="s">
        <v>325</v>
      </c>
      <c r="L169" s="14" t="s">
        <v>281</v>
      </c>
      <c r="M169" s="49" t="str">
        <f>+VLOOKUP(C169,'[1]Table 1'!$B:$B,1,0)</f>
        <v>4600022667-001-03350-226AT-00008</v>
      </c>
    </row>
    <row r="170" spans="1:13" ht="13.5" hidden="1" customHeight="1">
      <c r="A170" s="14">
        <f t="shared" si="1"/>
        <v>163</v>
      </c>
      <c r="B170" s="15" t="s">
        <v>389</v>
      </c>
      <c r="C170" s="15" t="s">
        <v>390</v>
      </c>
      <c r="D170" s="2" t="s">
        <v>391</v>
      </c>
      <c r="E170" s="16" t="s">
        <v>335</v>
      </c>
      <c r="F170" s="17">
        <v>45336</v>
      </c>
      <c r="G170" s="18" t="s">
        <v>14</v>
      </c>
      <c r="H170" s="18" t="s">
        <v>36</v>
      </c>
      <c r="I170" s="19">
        <v>1</v>
      </c>
      <c r="J170" s="18" t="s">
        <v>324</v>
      </c>
      <c r="K170" s="19" t="s">
        <v>325</v>
      </c>
      <c r="L170" s="14" t="s">
        <v>281</v>
      </c>
      <c r="M170" s="49" t="str">
        <f>+VLOOKUP(C170,'[1]Table 1'!$B:$B,1,0)</f>
        <v>4600022667-001-03350-226AT-00009</v>
      </c>
    </row>
    <row r="171" spans="1:13" ht="13.5" hidden="1" customHeight="1">
      <c r="A171" s="14">
        <f t="shared" si="1"/>
        <v>164</v>
      </c>
      <c r="B171" s="15" t="s">
        <v>392</v>
      </c>
      <c r="C171" s="15" t="s">
        <v>393</v>
      </c>
      <c r="D171" s="2" t="s">
        <v>394</v>
      </c>
      <c r="E171" s="16" t="s">
        <v>335</v>
      </c>
      <c r="F171" s="17">
        <v>45336</v>
      </c>
      <c r="G171" s="18" t="s">
        <v>14</v>
      </c>
      <c r="H171" s="18" t="s">
        <v>36</v>
      </c>
      <c r="I171" s="19">
        <v>1</v>
      </c>
      <c r="J171" s="18" t="s">
        <v>324</v>
      </c>
      <c r="K171" s="19" t="s">
        <v>325</v>
      </c>
      <c r="L171" s="14" t="s">
        <v>281</v>
      </c>
      <c r="M171" s="49" t="str">
        <f>+VLOOKUP(C171,'[1]Table 1'!$B:$B,1,0)</f>
        <v>4600022667-001-03350-226AT-00010</v>
      </c>
    </row>
    <row r="172" spans="1:13" ht="13.5" hidden="1" customHeight="1">
      <c r="A172" s="14">
        <f t="shared" si="1"/>
        <v>165</v>
      </c>
      <c r="B172" s="15" t="s">
        <v>395</v>
      </c>
      <c r="C172" s="15" t="s">
        <v>396</v>
      </c>
      <c r="D172" s="2" t="s">
        <v>397</v>
      </c>
      <c r="E172" s="16" t="s">
        <v>335</v>
      </c>
      <c r="F172" s="17">
        <v>45336</v>
      </c>
      <c r="G172" s="18" t="s">
        <v>14</v>
      </c>
      <c r="H172" s="18" t="s">
        <v>36</v>
      </c>
      <c r="I172" s="19">
        <v>1</v>
      </c>
      <c r="J172" s="18" t="s">
        <v>324</v>
      </c>
      <c r="K172" s="19" t="s">
        <v>325</v>
      </c>
      <c r="L172" s="14" t="s">
        <v>281</v>
      </c>
      <c r="M172" s="49" t="str">
        <f>+VLOOKUP(C172,'[1]Table 1'!$B:$B,1,0)</f>
        <v>4600022667-001-03350-226AT-00011</v>
      </c>
    </row>
    <row r="173" spans="1:13" ht="13.5" hidden="1" customHeight="1">
      <c r="A173" s="14">
        <f t="shared" si="1"/>
        <v>166</v>
      </c>
      <c r="B173" s="15" t="s">
        <v>398</v>
      </c>
      <c r="C173" s="15" t="s">
        <v>399</v>
      </c>
      <c r="D173" s="2" t="s">
        <v>400</v>
      </c>
      <c r="E173" s="16" t="s">
        <v>335</v>
      </c>
      <c r="F173" s="17">
        <v>45336</v>
      </c>
      <c r="G173" s="18" t="s">
        <v>14</v>
      </c>
      <c r="H173" s="18" t="s">
        <v>36</v>
      </c>
      <c r="I173" s="19">
        <v>1</v>
      </c>
      <c r="J173" s="18" t="s">
        <v>324</v>
      </c>
      <c r="K173" s="19" t="s">
        <v>325</v>
      </c>
      <c r="L173" s="14" t="s">
        <v>281</v>
      </c>
      <c r="M173" s="49" t="str">
        <f>+VLOOKUP(C173,'[1]Table 1'!$B:$B,1,0)</f>
        <v>4600022667-001-03350-226AT-00012</v>
      </c>
    </row>
    <row r="174" spans="1:13" ht="13.5" hidden="1" customHeight="1">
      <c r="A174" s="14">
        <f t="shared" si="1"/>
        <v>167</v>
      </c>
      <c r="B174" s="15" t="s">
        <v>401</v>
      </c>
      <c r="C174" s="15" t="s">
        <v>402</v>
      </c>
      <c r="D174" s="2" t="s">
        <v>403</v>
      </c>
      <c r="E174" s="16" t="s">
        <v>335</v>
      </c>
      <c r="F174" s="17">
        <v>45336</v>
      </c>
      <c r="G174" s="18" t="s">
        <v>14</v>
      </c>
      <c r="H174" s="18" t="s">
        <v>36</v>
      </c>
      <c r="I174" s="19">
        <v>1</v>
      </c>
      <c r="J174" s="18" t="s">
        <v>324</v>
      </c>
      <c r="K174" s="19" t="s">
        <v>325</v>
      </c>
      <c r="L174" s="14" t="s">
        <v>281</v>
      </c>
      <c r="M174" s="49" t="str">
        <f>+VLOOKUP(C174,'[1]Table 1'!$B:$B,1,0)</f>
        <v>4600022667-001-03350-226AT-00013</v>
      </c>
    </row>
    <row r="175" spans="1:13" ht="13.5" hidden="1" customHeight="1">
      <c r="A175" s="14">
        <f t="shared" si="1"/>
        <v>168</v>
      </c>
      <c r="B175" s="15" t="s">
        <v>404</v>
      </c>
      <c r="C175" s="15" t="s">
        <v>405</v>
      </c>
      <c r="D175" s="2" t="s">
        <v>406</v>
      </c>
      <c r="E175" s="16" t="s">
        <v>335</v>
      </c>
      <c r="F175" s="17">
        <v>45336</v>
      </c>
      <c r="G175" s="18" t="s">
        <v>14</v>
      </c>
      <c r="H175" s="18" t="s">
        <v>36</v>
      </c>
      <c r="I175" s="19">
        <v>1</v>
      </c>
      <c r="J175" s="18" t="s">
        <v>324</v>
      </c>
      <c r="K175" s="19" t="s">
        <v>325</v>
      </c>
      <c r="L175" s="14" t="s">
        <v>281</v>
      </c>
      <c r="M175" s="49" t="str">
        <f>+VLOOKUP(C175,'[1]Table 1'!$B:$B,1,0)</f>
        <v>4600022667-001-03350-226AT-00014</v>
      </c>
    </row>
    <row r="176" spans="1:13" ht="13.5" hidden="1" customHeight="1">
      <c r="A176" s="14">
        <f t="shared" si="1"/>
        <v>169</v>
      </c>
      <c r="B176" s="15" t="s">
        <v>407</v>
      </c>
      <c r="C176" s="15" t="s">
        <v>408</v>
      </c>
      <c r="D176" s="2" t="s">
        <v>409</v>
      </c>
      <c r="E176" s="16" t="s">
        <v>335</v>
      </c>
      <c r="F176" s="17">
        <v>45336</v>
      </c>
      <c r="G176" s="18" t="s">
        <v>14</v>
      </c>
      <c r="H176" s="18" t="s">
        <v>36</v>
      </c>
      <c r="I176" s="19">
        <v>1</v>
      </c>
      <c r="J176" s="18" t="s">
        <v>324</v>
      </c>
      <c r="K176" s="19" t="s">
        <v>325</v>
      </c>
      <c r="L176" s="14" t="s">
        <v>281</v>
      </c>
      <c r="M176" s="49" t="str">
        <f>+VLOOKUP(C176,'[1]Table 1'!$B:$B,1,0)</f>
        <v>4600022667-001-03350-226AT-00015</v>
      </c>
    </row>
    <row r="177" spans="1:13" ht="13.5" hidden="1" customHeight="1">
      <c r="A177" s="14">
        <f t="shared" si="1"/>
        <v>170</v>
      </c>
      <c r="B177" s="15" t="s">
        <v>410</v>
      </c>
      <c r="C177" s="15" t="s">
        <v>411</v>
      </c>
      <c r="D177" s="2" t="s">
        <v>412</v>
      </c>
      <c r="E177" s="16">
        <v>1</v>
      </c>
      <c r="F177" s="17">
        <v>45336</v>
      </c>
      <c r="G177" s="18" t="s">
        <v>14</v>
      </c>
      <c r="H177" s="18" t="s">
        <v>36</v>
      </c>
      <c r="I177" s="19">
        <v>1</v>
      </c>
      <c r="J177" s="18" t="s">
        <v>324</v>
      </c>
      <c r="K177" s="19" t="s">
        <v>325</v>
      </c>
      <c r="L177" s="14" t="s">
        <v>281</v>
      </c>
      <c r="M177" s="49" t="str">
        <f>+VLOOKUP(C177,'[1]Table 1'!$B:$B,1,0)</f>
        <v>4600022667-001-03350-227AT-00001</v>
      </c>
    </row>
    <row r="178" spans="1:13" ht="13.5" hidden="1" customHeight="1">
      <c r="A178" s="14">
        <f t="shared" si="1"/>
        <v>171</v>
      </c>
      <c r="B178" s="15" t="s">
        <v>413</v>
      </c>
      <c r="C178" s="15" t="s">
        <v>414</v>
      </c>
      <c r="D178" s="2" t="s">
        <v>415</v>
      </c>
      <c r="E178" s="16">
        <v>1</v>
      </c>
      <c r="F178" s="17">
        <v>45336</v>
      </c>
      <c r="G178" s="18" t="s">
        <v>14</v>
      </c>
      <c r="H178" s="18" t="s">
        <v>36</v>
      </c>
      <c r="I178" s="19">
        <v>1</v>
      </c>
      <c r="J178" s="18" t="s">
        <v>324</v>
      </c>
      <c r="K178" s="19" t="s">
        <v>325</v>
      </c>
      <c r="L178" s="14" t="s">
        <v>281</v>
      </c>
      <c r="M178" s="49" t="str">
        <f>+VLOOKUP(C178,'[1]Table 1'!$B:$B,1,0)</f>
        <v>4600022667-001-03350-227AT-00002</v>
      </c>
    </row>
    <row r="179" spans="1:13" ht="13.5" hidden="1" customHeight="1">
      <c r="A179" s="14">
        <f t="shared" si="1"/>
        <v>172</v>
      </c>
      <c r="B179" s="15" t="s">
        <v>416</v>
      </c>
      <c r="C179" s="15" t="s">
        <v>417</v>
      </c>
      <c r="D179" s="2" t="s">
        <v>418</v>
      </c>
      <c r="E179" s="16">
        <v>1</v>
      </c>
      <c r="F179" s="17">
        <v>45336</v>
      </c>
      <c r="G179" s="18" t="s">
        <v>14</v>
      </c>
      <c r="H179" s="18" t="s">
        <v>36</v>
      </c>
      <c r="I179" s="19">
        <v>1</v>
      </c>
      <c r="J179" s="18" t="s">
        <v>324</v>
      </c>
      <c r="K179" s="19" t="s">
        <v>325</v>
      </c>
      <c r="L179" s="14" t="s">
        <v>281</v>
      </c>
      <c r="M179" s="49" t="str">
        <f>+VLOOKUP(C179,'[1]Table 1'!$B:$B,1,0)</f>
        <v>4600022667-001-03350-227AT-00004</v>
      </c>
    </row>
    <row r="180" spans="1:13" ht="13.5" hidden="1" customHeight="1">
      <c r="A180" s="14">
        <f t="shared" si="1"/>
        <v>173</v>
      </c>
      <c r="B180" s="15" t="s">
        <v>419</v>
      </c>
      <c r="C180" s="15" t="s">
        <v>420</v>
      </c>
      <c r="D180" s="2" t="s">
        <v>421</v>
      </c>
      <c r="E180" s="16">
        <v>0</v>
      </c>
      <c r="F180" s="17">
        <v>45336</v>
      </c>
      <c r="G180" s="18" t="s">
        <v>14</v>
      </c>
      <c r="H180" s="18" t="s">
        <v>36</v>
      </c>
      <c r="I180" s="19">
        <v>1</v>
      </c>
      <c r="J180" s="18" t="s">
        <v>324</v>
      </c>
      <c r="K180" s="19" t="s">
        <v>325</v>
      </c>
      <c r="L180" s="14" t="s">
        <v>281</v>
      </c>
      <c r="M180" s="49" t="str">
        <f>+VLOOKUP(C180,'[1]Table 1'!$B:$B,1,0)</f>
        <v>4600022667-001-03350-227AT-00005</v>
      </c>
    </row>
    <row r="181" spans="1:13" ht="13.5" customHeight="1">
      <c r="A181" s="14">
        <f t="shared" si="1"/>
        <v>174</v>
      </c>
      <c r="B181" s="15" t="s">
        <v>422</v>
      </c>
      <c r="C181" s="15" t="s">
        <v>423</v>
      </c>
      <c r="D181" s="2" t="s">
        <v>424</v>
      </c>
      <c r="E181" s="16">
        <v>0</v>
      </c>
      <c r="F181" s="17">
        <v>45336</v>
      </c>
      <c r="G181" s="18" t="s">
        <v>14</v>
      </c>
      <c r="H181" s="18" t="s">
        <v>36</v>
      </c>
      <c r="I181" s="19">
        <v>1</v>
      </c>
      <c r="J181" s="18" t="s">
        <v>324</v>
      </c>
      <c r="K181" s="19" t="s">
        <v>325</v>
      </c>
      <c r="L181" s="14" t="s">
        <v>281</v>
      </c>
      <c r="M181" s="49" t="e">
        <f>+VLOOKUP(C181,'[1]Table 1'!$B:$B,1,0)</f>
        <v>#N/A</v>
      </c>
    </row>
    <row r="182" spans="1:13" ht="13.5" customHeight="1">
      <c r="A182" s="14">
        <f t="shared" si="1"/>
        <v>175</v>
      </c>
      <c r="B182" s="15" t="s">
        <v>425</v>
      </c>
      <c r="C182" s="15" t="s">
        <v>426</v>
      </c>
      <c r="D182" s="2" t="s">
        <v>427</v>
      </c>
      <c r="E182" s="16">
        <v>1</v>
      </c>
      <c r="F182" s="17">
        <v>45336</v>
      </c>
      <c r="G182" s="18" t="s">
        <v>14</v>
      </c>
      <c r="H182" s="18" t="s">
        <v>36</v>
      </c>
      <c r="I182" s="19">
        <v>1</v>
      </c>
      <c r="J182" s="18" t="s">
        <v>324</v>
      </c>
      <c r="K182" s="19" t="s">
        <v>325</v>
      </c>
      <c r="L182" s="14" t="s">
        <v>281</v>
      </c>
      <c r="M182" s="49" t="e">
        <f>+VLOOKUP(C182,'[1]Table 1'!$B:$B,1,0)</f>
        <v>#N/A</v>
      </c>
    </row>
    <row r="183" spans="1:13" ht="13.5" customHeight="1">
      <c r="A183" s="14">
        <f t="shared" si="1"/>
        <v>176</v>
      </c>
      <c r="B183" s="15" t="s">
        <v>428</v>
      </c>
      <c r="C183" s="15" t="s">
        <v>429</v>
      </c>
      <c r="D183" s="2" t="s">
        <v>430</v>
      </c>
      <c r="E183" s="16">
        <v>1</v>
      </c>
      <c r="F183" s="17">
        <v>45336</v>
      </c>
      <c r="G183" s="18" t="s">
        <v>14</v>
      </c>
      <c r="H183" s="18" t="s">
        <v>36</v>
      </c>
      <c r="I183" s="19">
        <v>1</v>
      </c>
      <c r="J183" s="18" t="s">
        <v>324</v>
      </c>
      <c r="K183" s="19" t="s">
        <v>325</v>
      </c>
      <c r="L183" s="14" t="s">
        <v>281</v>
      </c>
      <c r="M183" s="49" t="e">
        <f>+VLOOKUP(C183,'[1]Table 1'!$B:$B,1,0)</f>
        <v>#N/A</v>
      </c>
    </row>
    <row r="184" spans="1:13" ht="13.5" customHeight="1">
      <c r="A184" s="14">
        <f t="shared" si="1"/>
        <v>177</v>
      </c>
      <c r="B184" s="15" t="s">
        <v>431</v>
      </c>
      <c r="C184" s="15" t="s">
        <v>432</v>
      </c>
      <c r="D184" s="2" t="s">
        <v>433</v>
      </c>
      <c r="E184" s="16">
        <v>1</v>
      </c>
      <c r="F184" s="17">
        <v>45336</v>
      </c>
      <c r="G184" s="18" t="s">
        <v>14</v>
      </c>
      <c r="H184" s="18" t="s">
        <v>36</v>
      </c>
      <c r="I184" s="19">
        <v>1</v>
      </c>
      <c r="J184" s="18" t="s">
        <v>324</v>
      </c>
      <c r="K184" s="19" t="s">
        <v>325</v>
      </c>
      <c r="L184" s="14" t="s">
        <v>281</v>
      </c>
      <c r="M184" s="49" t="e">
        <f>+VLOOKUP(C184,'[1]Table 1'!$B:$B,1,0)</f>
        <v>#N/A</v>
      </c>
    </row>
    <row r="185" spans="1:13" ht="13.5" customHeight="1">
      <c r="A185" s="14">
        <f t="shared" si="1"/>
        <v>178</v>
      </c>
      <c r="B185" s="15" t="s">
        <v>434</v>
      </c>
      <c r="C185" s="15" t="s">
        <v>435</v>
      </c>
      <c r="D185" s="2" t="s">
        <v>436</v>
      </c>
      <c r="E185" s="16">
        <v>1</v>
      </c>
      <c r="F185" s="17">
        <v>45336</v>
      </c>
      <c r="G185" s="18" t="s">
        <v>14</v>
      </c>
      <c r="H185" s="18" t="s">
        <v>36</v>
      </c>
      <c r="I185" s="19">
        <v>1</v>
      </c>
      <c r="J185" s="18" t="s">
        <v>324</v>
      </c>
      <c r="K185" s="19" t="s">
        <v>325</v>
      </c>
      <c r="L185" s="14" t="s">
        <v>281</v>
      </c>
      <c r="M185" s="49" t="e">
        <f>+VLOOKUP(C185,'[1]Table 1'!$B:$B,1,0)</f>
        <v>#N/A</v>
      </c>
    </row>
    <row r="186" spans="1:13" ht="13.5" customHeight="1">
      <c r="A186" s="14">
        <f t="shared" si="1"/>
        <v>179</v>
      </c>
      <c r="B186" s="15" t="s">
        <v>437</v>
      </c>
      <c r="C186" s="15" t="s">
        <v>438</v>
      </c>
      <c r="D186" s="2" t="s">
        <v>439</v>
      </c>
      <c r="E186" s="16">
        <v>1</v>
      </c>
      <c r="F186" s="17">
        <v>45336</v>
      </c>
      <c r="G186" s="18" t="s">
        <v>14</v>
      </c>
      <c r="H186" s="18" t="s">
        <v>36</v>
      </c>
      <c r="I186" s="19">
        <v>1</v>
      </c>
      <c r="J186" s="18" t="s">
        <v>324</v>
      </c>
      <c r="K186" s="19" t="s">
        <v>325</v>
      </c>
      <c r="L186" s="14" t="s">
        <v>281</v>
      </c>
      <c r="M186" s="49" t="e">
        <f>+VLOOKUP(C186,'[1]Table 1'!$B:$B,1,0)</f>
        <v>#N/A</v>
      </c>
    </row>
    <row r="187" spans="1:13" ht="13.5" hidden="1" customHeight="1">
      <c r="A187" s="14">
        <f t="shared" si="1"/>
        <v>180</v>
      </c>
      <c r="B187" s="15" t="s">
        <v>440</v>
      </c>
      <c r="C187" s="15" t="s">
        <v>441</v>
      </c>
      <c r="D187" s="2" t="s">
        <v>442</v>
      </c>
      <c r="E187" s="16">
        <v>0</v>
      </c>
      <c r="F187" s="17">
        <v>45336</v>
      </c>
      <c r="G187" s="18" t="s">
        <v>6</v>
      </c>
      <c r="H187" s="18" t="s">
        <v>36</v>
      </c>
      <c r="I187" s="19">
        <v>33</v>
      </c>
      <c r="J187" s="18" t="s">
        <v>324</v>
      </c>
      <c r="K187" s="19" t="s">
        <v>325</v>
      </c>
      <c r="L187" s="14" t="s">
        <v>281</v>
      </c>
      <c r="M187" s="49" t="str">
        <f>+VLOOKUP(C187,'[1]Table 1'!$B:$B,1,0)</f>
        <v>4600022667-001-03350-CRDAT-00001</v>
      </c>
    </row>
    <row r="188" spans="1:13" ht="13.5" hidden="1" customHeight="1">
      <c r="A188" s="14">
        <f t="shared" si="1"/>
        <v>181</v>
      </c>
      <c r="B188" s="15" t="s">
        <v>443</v>
      </c>
      <c r="C188" s="15" t="s">
        <v>444</v>
      </c>
      <c r="D188" s="2" t="s">
        <v>445</v>
      </c>
      <c r="E188" s="16">
        <v>0</v>
      </c>
      <c r="F188" s="17">
        <v>45336</v>
      </c>
      <c r="G188" s="18" t="s">
        <v>7</v>
      </c>
      <c r="H188" s="18" t="s">
        <v>36</v>
      </c>
      <c r="I188" s="19">
        <v>8</v>
      </c>
      <c r="J188" s="18" t="s">
        <v>324</v>
      </c>
      <c r="K188" s="19" t="s">
        <v>325</v>
      </c>
      <c r="L188" s="14" t="s">
        <v>281</v>
      </c>
      <c r="M188" s="49" t="str">
        <f>+VLOOKUP(C188,'[1]Table 1'!$B:$B,1,0)</f>
        <v>4600022667-001-03350-CUBAT-00001</v>
      </c>
    </row>
    <row r="189" spans="1:13" ht="13.5" hidden="1" customHeight="1">
      <c r="A189" s="14">
        <f t="shared" si="1"/>
        <v>182</v>
      </c>
      <c r="B189" s="15" t="s">
        <v>446</v>
      </c>
      <c r="C189" s="15" t="s">
        <v>447</v>
      </c>
      <c r="D189" s="2" t="s">
        <v>448</v>
      </c>
      <c r="E189" s="16">
        <v>0</v>
      </c>
      <c r="F189" s="17">
        <v>45336</v>
      </c>
      <c r="G189" s="18" t="s">
        <v>8</v>
      </c>
      <c r="H189" s="18" t="s">
        <v>36</v>
      </c>
      <c r="I189" s="19">
        <v>33</v>
      </c>
      <c r="J189" s="18" t="s">
        <v>324</v>
      </c>
      <c r="K189" s="19" t="s">
        <v>325</v>
      </c>
      <c r="L189" s="14" t="s">
        <v>281</v>
      </c>
      <c r="M189" s="49" t="str">
        <f>+VLOOKUP(C189,'[1]Table 1'!$B:$B,1,0)</f>
        <v>4600022667-001-03350-ESPAT-00001</v>
      </c>
    </row>
    <row r="190" spans="1:13" ht="13.5" hidden="1" customHeight="1">
      <c r="A190" s="14">
        <f t="shared" si="1"/>
        <v>183</v>
      </c>
      <c r="B190" s="15" t="s">
        <v>449</v>
      </c>
      <c r="C190" s="15" t="s">
        <v>450</v>
      </c>
      <c r="D190" s="2" t="s">
        <v>451</v>
      </c>
      <c r="E190" s="16">
        <v>1</v>
      </c>
      <c r="F190" s="17">
        <v>45336</v>
      </c>
      <c r="G190" s="18" t="s">
        <v>8</v>
      </c>
      <c r="H190" s="18" t="s">
        <v>36</v>
      </c>
      <c r="I190" s="19">
        <v>27</v>
      </c>
      <c r="J190" s="18" t="s">
        <v>324</v>
      </c>
      <c r="K190" s="19" t="s">
        <v>325</v>
      </c>
      <c r="L190" s="14" t="s">
        <v>281</v>
      </c>
      <c r="M190" s="49" t="str">
        <f>+VLOOKUP(C190,'[1]Table 1'!$B:$B,1,0)</f>
        <v>4600022667-001-03350-ESPAT-00005</v>
      </c>
    </row>
    <row r="191" spans="1:13" ht="13.5" hidden="1" customHeight="1">
      <c r="A191" s="14">
        <f t="shared" si="1"/>
        <v>184</v>
      </c>
      <c r="B191" s="15" t="s">
        <v>452</v>
      </c>
      <c r="C191" s="15" t="s">
        <v>453</v>
      </c>
      <c r="D191" s="2" t="s">
        <v>454</v>
      </c>
      <c r="E191" s="16">
        <v>1</v>
      </c>
      <c r="F191" s="17">
        <v>45336</v>
      </c>
      <c r="G191" s="18" t="s">
        <v>9</v>
      </c>
      <c r="H191" s="18" t="s">
        <v>36</v>
      </c>
      <c r="I191" s="19">
        <v>13</v>
      </c>
      <c r="J191" s="18" t="s">
        <v>324</v>
      </c>
      <c r="K191" s="19" t="s">
        <v>325</v>
      </c>
      <c r="L191" s="14" t="s">
        <v>281</v>
      </c>
      <c r="M191" s="49" t="str">
        <f>+VLOOKUP(C191,'[1]Table 1'!$B:$B,1,0)</f>
        <v>4600022667-001-03350-HDDAT-00001</v>
      </c>
    </row>
    <row r="192" spans="1:13" ht="13.5" hidden="1" customHeight="1">
      <c r="A192" s="14">
        <f t="shared" si="1"/>
        <v>185</v>
      </c>
      <c r="B192" s="15" t="s">
        <v>455</v>
      </c>
      <c r="C192" s="15" t="s">
        <v>456</v>
      </c>
      <c r="D192" s="2" t="s">
        <v>457</v>
      </c>
      <c r="E192" s="16">
        <v>1</v>
      </c>
      <c r="F192" s="17">
        <v>45336</v>
      </c>
      <c r="G192" s="18" t="s">
        <v>9</v>
      </c>
      <c r="H192" s="18" t="s">
        <v>36</v>
      </c>
      <c r="I192" s="19">
        <v>10</v>
      </c>
      <c r="J192" s="18" t="s">
        <v>324</v>
      </c>
      <c r="K192" s="19" t="s">
        <v>325</v>
      </c>
      <c r="L192" s="14" t="s">
        <v>281</v>
      </c>
      <c r="M192" s="49" t="str">
        <f>+VLOOKUP(C192,'[1]Table 1'!$B:$B,1,0)</f>
        <v>4600022667-001-03350-HDDAT-00002</v>
      </c>
    </row>
    <row r="193" spans="1:13" ht="13.5" hidden="1" customHeight="1">
      <c r="A193" s="14">
        <f t="shared" si="1"/>
        <v>186</v>
      </c>
      <c r="B193" s="15" t="s">
        <v>458</v>
      </c>
      <c r="C193" s="15" t="s">
        <v>459</v>
      </c>
      <c r="D193" s="2" t="s">
        <v>460</v>
      </c>
      <c r="E193" s="16">
        <v>1</v>
      </c>
      <c r="F193" s="17">
        <v>45336</v>
      </c>
      <c r="G193" s="18" t="s">
        <v>9</v>
      </c>
      <c r="H193" s="18" t="s">
        <v>36</v>
      </c>
      <c r="I193" s="19">
        <v>11</v>
      </c>
      <c r="J193" s="18" t="s">
        <v>324</v>
      </c>
      <c r="K193" s="19" t="s">
        <v>325</v>
      </c>
      <c r="L193" s="14" t="s">
        <v>281</v>
      </c>
      <c r="M193" s="49" t="str">
        <f>+VLOOKUP(C193,'[1]Table 1'!$B:$B,1,0)</f>
        <v>4600022667-001-03350-HDDAT-00003</v>
      </c>
    </row>
    <row r="194" spans="1:13" ht="13.5" hidden="1" customHeight="1">
      <c r="A194" s="14">
        <f t="shared" si="1"/>
        <v>187</v>
      </c>
      <c r="B194" s="15" t="s">
        <v>461</v>
      </c>
      <c r="C194" s="15" t="s">
        <v>462</v>
      </c>
      <c r="D194" s="2" t="s">
        <v>463</v>
      </c>
      <c r="E194" s="16">
        <v>1</v>
      </c>
      <c r="F194" s="17">
        <v>45336</v>
      </c>
      <c r="G194" s="18" t="s">
        <v>9</v>
      </c>
      <c r="H194" s="18" t="s">
        <v>36</v>
      </c>
      <c r="I194" s="19">
        <v>9</v>
      </c>
      <c r="J194" s="18" t="s">
        <v>324</v>
      </c>
      <c r="K194" s="19" t="s">
        <v>325</v>
      </c>
      <c r="L194" s="14" t="s">
        <v>281</v>
      </c>
      <c r="M194" s="49" t="str">
        <f>+VLOOKUP(C194,'[1]Table 1'!$B:$B,1,0)</f>
        <v>4600022667-001-03350-HDDAT-00004</v>
      </c>
    </row>
    <row r="195" spans="1:13" ht="13.5" hidden="1" customHeight="1">
      <c r="A195" s="14">
        <f t="shared" si="1"/>
        <v>188</v>
      </c>
      <c r="B195" s="15" t="s">
        <v>464</v>
      </c>
      <c r="C195" s="15" t="s">
        <v>465</v>
      </c>
      <c r="D195" s="2" t="s">
        <v>466</v>
      </c>
      <c r="E195" s="16">
        <v>1</v>
      </c>
      <c r="F195" s="17">
        <v>45336</v>
      </c>
      <c r="G195" s="18" t="s">
        <v>9</v>
      </c>
      <c r="H195" s="18" t="s">
        <v>36</v>
      </c>
      <c r="I195" s="19">
        <v>17</v>
      </c>
      <c r="J195" s="18" t="s">
        <v>324</v>
      </c>
      <c r="K195" s="19" t="s">
        <v>325</v>
      </c>
      <c r="L195" s="14" t="s">
        <v>281</v>
      </c>
      <c r="M195" s="49" t="str">
        <f>+VLOOKUP(C195,'[1]Table 1'!$B:$B,1,0)</f>
        <v>4600022667-001-03350-HDDAT-00005</v>
      </c>
    </row>
    <row r="196" spans="1:13" ht="13.5" hidden="1" customHeight="1">
      <c r="A196" s="14">
        <f t="shared" ref="A196:A259" si="2">ROW()-7</f>
        <v>189</v>
      </c>
      <c r="B196" s="15" t="s">
        <v>467</v>
      </c>
      <c r="C196" s="15" t="s">
        <v>468</v>
      </c>
      <c r="D196" s="2" t="s">
        <v>469</v>
      </c>
      <c r="E196" s="16">
        <v>1</v>
      </c>
      <c r="F196" s="17">
        <v>45336</v>
      </c>
      <c r="G196" s="18" t="s">
        <v>9</v>
      </c>
      <c r="H196" s="18" t="s">
        <v>36</v>
      </c>
      <c r="I196" s="19">
        <v>8</v>
      </c>
      <c r="J196" s="18" t="s">
        <v>324</v>
      </c>
      <c r="K196" s="19" t="s">
        <v>325</v>
      </c>
      <c r="L196" s="14" t="s">
        <v>281</v>
      </c>
      <c r="M196" s="49" t="str">
        <f>+VLOOKUP(C196,'[1]Table 1'!$B:$B,1,0)</f>
        <v>4600022667-001-03350-HDDAT-00007</v>
      </c>
    </row>
    <row r="197" spans="1:13" ht="13.5" hidden="1" customHeight="1">
      <c r="A197" s="14">
        <f t="shared" si="2"/>
        <v>190</v>
      </c>
      <c r="B197" s="15" t="s">
        <v>470</v>
      </c>
      <c r="C197" s="15" t="s">
        <v>471</v>
      </c>
      <c r="D197" s="2" t="s">
        <v>472</v>
      </c>
      <c r="E197" s="16">
        <v>0</v>
      </c>
      <c r="F197" s="17">
        <v>45336</v>
      </c>
      <c r="G197" s="18" t="s">
        <v>9</v>
      </c>
      <c r="H197" s="18" t="s">
        <v>36</v>
      </c>
      <c r="I197" s="19">
        <v>15</v>
      </c>
      <c r="J197" s="18" t="s">
        <v>324</v>
      </c>
      <c r="K197" s="19" t="s">
        <v>325</v>
      </c>
      <c r="L197" s="14" t="s">
        <v>281</v>
      </c>
      <c r="M197" s="49" t="str">
        <f>+VLOOKUP(C197,'[1]Table 1'!$B:$B,1,0)</f>
        <v>4600022667-001-03350-HDDAT-00008</v>
      </c>
    </row>
    <row r="198" spans="1:13" ht="13.5" hidden="1" customHeight="1">
      <c r="A198" s="14">
        <f t="shared" si="2"/>
        <v>191</v>
      </c>
      <c r="B198" s="15" t="s">
        <v>473</v>
      </c>
      <c r="C198" s="15" t="s">
        <v>474</v>
      </c>
      <c r="D198" s="2" t="s">
        <v>475</v>
      </c>
      <c r="E198" s="16">
        <v>0</v>
      </c>
      <c r="F198" s="17">
        <v>45336</v>
      </c>
      <c r="G198" s="18" t="s">
        <v>10</v>
      </c>
      <c r="H198" s="18" t="s">
        <v>36</v>
      </c>
      <c r="I198" s="19">
        <v>37</v>
      </c>
      <c r="J198" s="18" t="s">
        <v>324</v>
      </c>
      <c r="K198" s="19" t="s">
        <v>325</v>
      </c>
      <c r="L198" s="14" t="s">
        <v>281</v>
      </c>
      <c r="M198" s="49" t="str">
        <f>+VLOOKUP(C198,'[1]Table 1'!$B:$B,1,0)</f>
        <v>4600022667-001-03350-INFAT-00001</v>
      </c>
    </row>
    <row r="199" spans="1:13" ht="13.5" hidden="1" customHeight="1">
      <c r="A199" s="14">
        <f t="shared" si="2"/>
        <v>192</v>
      </c>
      <c r="B199" s="15" t="s">
        <v>476</v>
      </c>
      <c r="C199" s="15" t="s">
        <v>477</v>
      </c>
      <c r="D199" s="2" t="s">
        <v>478</v>
      </c>
      <c r="E199" s="16">
        <v>0</v>
      </c>
      <c r="F199" s="17">
        <v>45336</v>
      </c>
      <c r="G199" s="18" t="s">
        <v>11</v>
      </c>
      <c r="H199" s="18" t="s">
        <v>36</v>
      </c>
      <c r="I199" s="19">
        <v>10</v>
      </c>
      <c r="J199" s="18" t="s">
        <v>324</v>
      </c>
      <c r="K199" s="19" t="s">
        <v>325</v>
      </c>
      <c r="L199" s="14" t="s">
        <v>281</v>
      </c>
      <c r="M199" s="49" t="str">
        <f>+VLOOKUP(C199,'[1]Table 1'!$B:$B,1,0)</f>
        <v>4600022667-001-03350-LSTAT-00001</v>
      </c>
    </row>
    <row r="200" spans="1:13" ht="13.5" hidden="1" customHeight="1">
      <c r="A200" s="14">
        <f t="shared" si="2"/>
        <v>193</v>
      </c>
      <c r="B200" s="15" t="s">
        <v>479</v>
      </c>
      <c r="C200" s="15" t="s">
        <v>480</v>
      </c>
      <c r="D200" s="2" t="s">
        <v>481</v>
      </c>
      <c r="E200" s="16">
        <v>1</v>
      </c>
      <c r="F200" s="17">
        <v>45336</v>
      </c>
      <c r="G200" s="18" t="s">
        <v>11</v>
      </c>
      <c r="H200" s="18" t="s">
        <v>36</v>
      </c>
      <c r="I200" s="19">
        <v>19</v>
      </c>
      <c r="J200" s="18" t="s">
        <v>324</v>
      </c>
      <c r="K200" s="19" t="s">
        <v>325</v>
      </c>
      <c r="L200" s="14" t="s">
        <v>281</v>
      </c>
      <c r="M200" s="49" t="str">
        <f>+VLOOKUP(C200,'[1]Table 1'!$B:$B,1,0)</f>
        <v>4600022667-001-03350-LSTAT-00002</v>
      </c>
    </row>
    <row r="201" spans="1:13" ht="13.5" hidden="1" customHeight="1">
      <c r="A201" s="14">
        <f t="shared" si="2"/>
        <v>194</v>
      </c>
      <c r="B201" s="15" t="s">
        <v>482</v>
      </c>
      <c r="C201" s="15" t="s">
        <v>483</v>
      </c>
      <c r="D201" s="2" t="s">
        <v>484</v>
      </c>
      <c r="E201" s="16">
        <v>1</v>
      </c>
      <c r="F201" s="17">
        <v>45336</v>
      </c>
      <c r="G201" s="18" t="s">
        <v>11</v>
      </c>
      <c r="H201" s="18" t="s">
        <v>36</v>
      </c>
      <c r="I201" s="19">
        <v>6</v>
      </c>
      <c r="J201" s="18" t="s">
        <v>324</v>
      </c>
      <c r="K201" s="19" t="s">
        <v>325</v>
      </c>
      <c r="L201" s="14" t="s">
        <v>281</v>
      </c>
      <c r="M201" s="49" t="str">
        <f>+VLOOKUP(C201,'[1]Table 1'!$B:$B,1,0)</f>
        <v>4600022667-001-03350-LSTAT-00003</v>
      </c>
    </row>
    <row r="202" spans="1:13" ht="13.5" hidden="1" customHeight="1">
      <c r="A202" s="14">
        <f t="shared" si="2"/>
        <v>195</v>
      </c>
      <c r="B202" s="15" t="s">
        <v>485</v>
      </c>
      <c r="C202" s="15" t="s">
        <v>486</v>
      </c>
      <c r="D202" s="2" t="s">
        <v>487</v>
      </c>
      <c r="E202" s="16">
        <v>1</v>
      </c>
      <c r="F202" s="17">
        <v>45336</v>
      </c>
      <c r="G202" s="18" t="s">
        <v>11</v>
      </c>
      <c r="H202" s="18" t="s">
        <v>36</v>
      </c>
      <c r="I202" s="19">
        <v>6</v>
      </c>
      <c r="J202" s="18" t="s">
        <v>324</v>
      </c>
      <c r="K202" s="19" t="s">
        <v>325</v>
      </c>
      <c r="L202" s="14" t="s">
        <v>281</v>
      </c>
      <c r="M202" s="49" t="str">
        <f>+VLOOKUP(C202,'[1]Table 1'!$B:$B,1,0)</f>
        <v>4600022667-001-03350-LSTAT-00005</v>
      </c>
    </row>
    <row r="203" spans="1:13" ht="13.5" hidden="1" customHeight="1">
      <c r="A203" s="14">
        <f t="shared" si="2"/>
        <v>196</v>
      </c>
      <c r="B203" s="15" t="s">
        <v>488</v>
      </c>
      <c r="C203" s="15" t="s">
        <v>489</v>
      </c>
      <c r="D203" s="2" t="s">
        <v>490</v>
      </c>
      <c r="E203" s="16" t="s">
        <v>335</v>
      </c>
      <c r="F203" s="17">
        <v>45336</v>
      </c>
      <c r="G203" s="18" t="s">
        <v>14</v>
      </c>
      <c r="H203" s="18" t="s">
        <v>36</v>
      </c>
      <c r="I203" s="19">
        <v>1</v>
      </c>
      <c r="J203" s="18" t="s">
        <v>491</v>
      </c>
      <c r="K203" s="19" t="s">
        <v>492</v>
      </c>
      <c r="L203" s="14" t="s">
        <v>281</v>
      </c>
      <c r="M203" s="49" t="str">
        <f>+VLOOKUP(C203,'[1]Table 1'!$B:$B,1,0)</f>
        <v>4600022667-001-03350-102CA-00006</v>
      </c>
    </row>
    <row r="204" spans="1:13" ht="13.5" hidden="1" customHeight="1">
      <c r="A204" s="14">
        <f t="shared" si="2"/>
        <v>197</v>
      </c>
      <c r="B204" s="15" t="s">
        <v>493</v>
      </c>
      <c r="C204" s="15" t="s">
        <v>494</v>
      </c>
      <c r="D204" s="2" t="s">
        <v>495</v>
      </c>
      <c r="E204" s="16" t="s">
        <v>335</v>
      </c>
      <c r="F204" s="17">
        <v>45336</v>
      </c>
      <c r="G204" s="18" t="s">
        <v>14</v>
      </c>
      <c r="H204" s="18" t="s">
        <v>36</v>
      </c>
      <c r="I204" s="19">
        <v>1</v>
      </c>
      <c r="J204" s="18" t="s">
        <v>491</v>
      </c>
      <c r="K204" s="19" t="s">
        <v>492</v>
      </c>
      <c r="L204" s="14" t="s">
        <v>281</v>
      </c>
      <c r="M204" s="49" t="str">
        <f>+VLOOKUP(C204,'[1]Table 1'!$B:$B,1,0)</f>
        <v>4600022667-001-03350-102CA-00008</v>
      </c>
    </row>
    <row r="205" spans="1:13" ht="13.5" hidden="1" customHeight="1">
      <c r="A205" s="14">
        <f t="shared" si="2"/>
        <v>198</v>
      </c>
      <c r="B205" s="15" t="s">
        <v>496</v>
      </c>
      <c r="C205" s="15" t="s">
        <v>497</v>
      </c>
      <c r="D205" s="2" t="s">
        <v>498</v>
      </c>
      <c r="E205" s="16" t="s">
        <v>335</v>
      </c>
      <c r="F205" s="17">
        <v>45336</v>
      </c>
      <c r="G205" s="18" t="s">
        <v>14</v>
      </c>
      <c r="H205" s="18" t="s">
        <v>36</v>
      </c>
      <c r="I205" s="19">
        <v>1</v>
      </c>
      <c r="J205" s="18" t="s">
        <v>491</v>
      </c>
      <c r="K205" s="19" t="s">
        <v>492</v>
      </c>
      <c r="L205" s="14" t="s">
        <v>281</v>
      </c>
      <c r="M205" s="49" t="str">
        <f>+VLOOKUP(C205,'[1]Table 1'!$B:$B,1,0)</f>
        <v>4600022667-001-03350-102CA-00009</v>
      </c>
    </row>
    <row r="206" spans="1:13" ht="13.5" hidden="1" customHeight="1">
      <c r="A206" s="14">
        <f t="shared" si="2"/>
        <v>199</v>
      </c>
      <c r="B206" s="15" t="s">
        <v>499</v>
      </c>
      <c r="C206" s="15" t="s">
        <v>500</v>
      </c>
      <c r="D206" s="2" t="s">
        <v>501</v>
      </c>
      <c r="E206" s="16" t="s">
        <v>335</v>
      </c>
      <c r="F206" s="17">
        <v>45336</v>
      </c>
      <c r="G206" s="18" t="s">
        <v>14</v>
      </c>
      <c r="H206" s="18" t="s">
        <v>36</v>
      </c>
      <c r="I206" s="19">
        <v>1</v>
      </c>
      <c r="J206" s="18" t="s">
        <v>491</v>
      </c>
      <c r="K206" s="19" t="s">
        <v>492</v>
      </c>
      <c r="L206" s="14" t="s">
        <v>281</v>
      </c>
      <c r="M206" s="49" t="str">
        <f>+VLOOKUP(C206,'[1]Table 1'!$B:$B,1,0)</f>
        <v>4600022667-001-03350-102CA-00011</v>
      </c>
    </row>
    <row r="207" spans="1:13" ht="13.5" hidden="1" customHeight="1">
      <c r="A207" s="14">
        <f t="shared" si="2"/>
        <v>200</v>
      </c>
      <c r="B207" s="15" t="s">
        <v>502</v>
      </c>
      <c r="C207" s="15" t="s">
        <v>503</v>
      </c>
      <c r="D207" s="2" t="s">
        <v>504</v>
      </c>
      <c r="E207" s="16" t="s">
        <v>335</v>
      </c>
      <c r="F207" s="17">
        <v>45336</v>
      </c>
      <c r="G207" s="18" t="s">
        <v>14</v>
      </c>
      <c r="H207" s="18" t="s">
        <v>36</v>
      </c>
      <c r="I207" s="19">
        <v>1</v>
      </c>
      <c r="J207" s="18" t="s">
        <v>491</v>
      </c>
      <c r="K207" s="19" t="s">
        <v>492</v>
      </c>
      <c r="L207" s="14" t="s">
        <v>281</v>
      </c>
      <c r="M207" s="49" t="str">
        <f>+VLOOKUP(C207,'[1]Table 1'!$B:$B,1,0)</f>
        <v>4600022667-001-03350-102CA-00012</v>
      </c>
    </row>
    <row r="208" spans="1:13" ht="13.5" hidden="1" customHeight="1">
      <c r="A208" s="14">
        <f t="shared" si="2"/>
        <v>201</v>
      </c>
      <c r="B208" s="15" t="s">
        <v>505</v>
      </c>
      <c r="C208" s="15" t="s">
        <v>506</v>
      </c>
      <c r="D208" s="2" t="s">
        <v>507</v>
      </c>
      <c r="E208" s="16" t="s">
        <v>335</v>
      </c>
      <c r="F208" s="17">
        <v>45336</v>
      </c>
      <c r="G208" s="18" t="s">
        <v>14</v>
      </c>
      <c r="H208" s="18" t="s">
        <v>36</v>
      </c>
      <c r="I208" s="19">
        <v>1</v>
      </c>
      <c r="J208" s="18" t="s">
        <v>491</v>
      </c>
      <c r="K208" s="19" t="s">
        <v>492</v>
      </c>
      <c r="L208" s="14" t="s">
        <v>281</v>
      </c>
      <c r="M208" s="49" t="str">
        <f>+VLOOKUP(C208,'[1]Table 1'!$B:$B,1,0)</f>
        <v>4600022667-001-03350-102CA-00013</v>
      </c>
    </row>
    <row r="209" spans="1:13" ht="13.5" hidden="1" customHeight="1">
      <c r="A209" s="14">
        <f t="shared" si="2"/>
        <v>202</v>
      </c>
      <c r="B209" s="15" t="s">
        <v>508</v>
      </c>
      <c r="C209" s="15" t="s">
        <v>509</v>
      </c>
      <c r="D209" s="2" t="s">
        <v>510</v>
      </c>
      <c r="E209" s="16" t="s">
        <v>335</v>
      </c>
      <c r="F209" s="17">
        <v>45336</v>
      </c>
      <c r="G209" s="18" t="s">
        <v>14</v>
      </c>
      <c r="H209" s="18" t="s">
        <v>36</v>
      </c>
      <c r="I209" s="19">
        <v>1</v>
      </c>
      <c r="J209" s="18" t="s">
        <v>491</v>
      </c>
      <c r="K209" s="19" t="s">
        <v>492</v>
      </c>
      <c r="L209" s="14" t="s">
        <v>281</v>
      </c>
      <c r="M209" s="49" t="str">
        <f>+VLOOKUP(C209,'[1]Table 1'!$B:$B,1,0)</f>
        <v>4600022667-001-03350-102CA-00014</v>
      </c>
    </row>
    <row r="210" spans="1:13" ht="13.5" hidden="1" customHeight="1">
      <c r="A210" s="14">
        <f t="shared" si="2"/>
        <v>203</v>
      </c>
      <c r="B210" s="15" t="s">
        <v>511</v>
      </c>
      <c r="C210" s="15" t="s">
        <v>512</v>
      </c>
      <c r="D210" s="2" t="s">
        <v>513</v>
      </c>
      <c r="E210" s="16" t="s">
        <v>335</v>
      </c>
      <c r="F210" s="17">
        <v>45336</v>
      </c>
      <c r="G210" s="18" t="s">
        <v>14</v>
      </c>
      <c r="H210" s="18" t="s">
        <v>36</v>
      </c>
      <c r="I210" s="19">
        <v>1</v>
      </c>
      <c r="J210" s="18" t="s">
        <v>491</v>
      </c>
      <c r="K210" s="19" t="s">
        <v>492</v>
      </c>
      <c r="L210" s="14" t="s">
        <v>281</v>
      </c>
      <c r="M210" s="49" t="str">
        <f>+VLOOKUP(C210,'[1]Table 1'!$B:$B,1,0)</f>
        <v>4600022667-001-03350-102CA-00015</v>
      </c>
    </row>
    <row r="211" spans="1:13" ht="13.5" hidden="1" customHeight="1">
      <c r="A211" s="14">
        <f t="shared" si="2"/>
        <v>204</v>
      </c>
      <c r="B211" s="15" t="s">
        <v>514</v>
      </c>
      <c r="C211" s="15" t="s">
        <v>515</v>
      </c>
      <c r="D211" s="2" t="s">
        <v>516</v>
      </c>
      <c r="E211" s="16">
        <v>0</v>
      </c>
      <c r="F211" s="17">
        <v>45336</v>
      </c>
      <c r="G211" s="18" t="s">
        <v>13</v>
      </c>
      <c r="H211" s="18" t="s">
        <v>36</v>
      </c>
      <c r="I211" s="19">
        <v>1</v>
      </c>
      <c r="J211" s="18" t="s">
        <v>517</v>
      </c>
      <c r="K211" s="19" t="s">
        <v>492</v>
      </c>
      <c r="L211" s="14" t="s">
        <v>281</v>
      </c>
      <c r="M211" s="49" t="str">
        <f>+VLOOKUP(C211,'[1]Table 1'!$B:$B,1,0)</f>
        <v>4600022667-001-03350-201CA-00001</v>
      </c>
    </row>
    <row r="212" spans="1:13" ht="13.5" hidden="1" customHeight="1">
      <c r="A212" s="14">
        <f t="shared" si="2"/>
        <v>205</v>
      </c>
      <c r="B212" s="15" t="s">
        <v>518</v>
      </c>
      <c r="C212" s="15" t="s">
        <v>519</v>
      </c>
      <c r="D212" s="2" t="s">
        <v>520</v>
      </c>
      <c r="E212" s="16">
        <v>1</v>
      </c>
      <c r="F212" s="17">
        <v>45336</v>
      </c>
      <c r="G212" s="18" t="s">
        <v>13</v>
      </c>
      <c r="H212" s="18" t="s">
        <v>36</v>
      </c>
      <c r="I212" s="19">
        <v>1</v>
      </c>
      <c r="J212" s="18" t="s">
        <v>517</v>
      </c>
      <c r="K212" s="19" t="s">
        <v>492</v>
      </c>
      <c r="L212" s="14" t="s">
        <v>281</v>
      </c>
      <c r="M212" s="49" t="str">
        <f>+VLOOKUP(C212,'[1]Table 1'!$B:$B,1,0)</f>
        <v>4600022667-001-03350-201CA-00002</v>
      </c>
    </row>
    <row r="213" spans="1:13" ht="13.5" hidden="1" customHeight="1">
      <c r="A213" s="14">
        <f t="shared" si="2"/>
        <v>206</v>
      </c>
      <c r="B213" s="15" t="s">
        <v>521</v>
      </c>
      <c r="C213" s="15" t="s">
        <v>522</v>
      </c>
      <c r="D213" s="2" t="s">
        <v>523</v>
      </c>
      <c r="E213" s="16">
        <v>1</v>
      </c>
      <c r="F213" s="17">
        <v>45336</v>
      </c>
      <c r="G213" s="18" t="s">
        <v>13</v>
      </c>
      <c r="H213" s="18" t="s">
        <v>36</v>
      </c>
      <c r="I213" s="19">
        <v>1</v>
      </c>
      <c r="J213" s="18" t="s">
        <v>517</v>
      </c>
      <c r="K213" s="19" t="s">
        <v>492</v>
      </c>
      <c r="L213" s="14" t="s">
        <v>281</v>
      </c>
      <c r="M213" s="49" t="str">
        <f>+VLOOKUP(C213,'[1]Table 1'!$B:$B,1,0)</f>
        <v>4600022667-001-03350-201CA-00003</v>
      </c>
    </row>
    <row r="214" spans="1:13" ht="13.5" hidden="1" customHeight="1">
      <c r="A214" s="14">
        <f t="shared" si="2"/>
        <v>207</v>
      </c>
      <c r="B214" s="15" t="s">
        <v>524</v>
      </c>
      <c r="C214" s="15" t="s">
        <v>525</v>
      </c>
      <c r="D214" s="2" t="s">
        <v>526</v>
      </c>
      <c r="E214" s="16">
        <v>1</v>
      </c>
      <c r="F214" s="17">
        <v>45336</v>
      </c>
      <c r="G214" s="18" t="s">
        <v>13</v>
      </c>
      <c r="H214" s="18" t="s">
        <v>36</v>
      </c>
      <c r="I214" s="19">
        <v>1</v>
      </c>
      <c r="J214" s="18" t="s">
        <v>517</v>
      </c>
      <c r="K214" s="19" t="s">
        <v>492</v>
      </c>
      <c r="L214" s="14" t="s">
        <v>281</v>
      </c>
      <c r="M214" s="49" t="str">
        <f>+VLOOKUP(C214,'[1]Table 1'!$B:$B,1,0)</f>
        <v>4600022667-001-03350-201CA-00004</v>
      </c>
    </row>
    <row r="215" spans="1:13" ht="13.5" hidden="1" customHeight="1">
      <c r="A215" s="14">
        <f t="shared" si="2"/>
        <v>208</v>
      </c>
      <c r="B215" s="15" t="s">
        <v>527</v>
      </c>
      <c r="C215" s="15" t="s">
        <v>528</v>
      </c>
      <c r="D215" s="2" t="s">
        <v>529</v>
      </c>
      <c r="E215" s="16">
        <v>0</v>
      </c>
      <c r="F215" s="17">
        <v>45336</v>
      </c>
      <c r="G215" s="18" t="s">
        <v>13</v>
      </c>
      <c r="H215" s="18" t="s">
        <v>36</v>
      </c>
      <c r="I215" s="19">
        <v>1</v>
      </c>
      <c r="J215" s="18" t="s">
        <v>517</v>
      </c>
      <c r="K215" s="19" t="s">
        <v>492</v>
      </c>
      <c r="L215" s="14" t="s">
        <v>281</v>
      </c>
      <c r="M215" s="49" t="str">
        <f>+VLOOKUP(C215,'[1]Table 1'!$B:$B,1,0)</f>
        <v>4600022667-001-03350-201CA-00005</v>
      </c>
    </row>
    <row r="216" spans="1:13" ht="13.5" hidden="1" customHeight="1">
      <c r="A216" s="14">
        <f t="shared" si="2"/>
        <v>209</v>
      </c>
      <c r="B216" s="15" t="s">
        <v>530</v>
      </c>
      <c r="C216" s="15" t="s">
        <v>531</v>
      </c>
      <c r="D216" s="2" t="s">
        <v>532</v>
      </c>
      <c r="E216" s="16">
        <v>0</v>
      </c>
      <c r="F216" s="17">
        <v>45336</v>
      </c>
      <c r="G216" s="18" t="s">
        <v>13</v>
      </c>
      <c r="H216" s="18" t="s">
        <v>36</v>
      </c>
      <c r="I216" s="19">
        <v>1</v>
      </c>
      <c r="J216" s="18" t="s">
        <v>517</v>
      </c>
      <c r="K216" s="19" t="s">
        <v>492</v>
      </c>
      <c r="L216" s="14" t="s">
        <v>281</v>
      </c>
      <c r="M216" s="49" t="str">
        <f>+VLOOKUP(C216,'[1]Table 1'!$B:$B,1,0)</f>
        <v>4600022667-001-03350-201CA-00006</v>
      </c>
    </row>
    <row r="217" spans="1:13" ht="13.5" hidden="1" customHeight="1">
      <c r="A217" s="14">
        <f t="shared" si="2"/>
        <v>210</v>
      </c>
      <c r="B217" s="15" t="s">
        <v>533</v>
      </c>
      <c r="C217" s="15" t="s">
        <v>534</v>
      </c>
      <c r="D217" s="2" t="s">
        <v>535</v>
      </c>
      <c r="E217" s="16">
        <v>0</v>
      </c>
      <c r="F217" s="17">
        <v>45336</v>
      </c>
      <c r="G217" s="18" t="s">
        <v>14</v>
      </c>
      <c r="H217" s="18" t="s">
        <v>36</v>
      </c>
      <c r="I217" s="19">
        <v>1</v>
      </c>
      <c r="J217" s="18" t="s">
        <v>491</v>
      </c>
      <c r="K217" s="19" t="s">
        <v>492</v>
      </c>
      <c r="L217" s="14" t="s">
        <v>281</v>
      </c>
      <c r="M217" s="49" t="str">
        <f>+VLOOKUP(C217,'[1]Table 1'!$B:$B,1,0)</f>
        <v>4600022667-001-03350-205CA-00001</v>
      </c>
    </row>
    <row r="218" spans="1:13" ht="13.5" hidden="1" customHeight="1">
      <c r="A218" s="14">
        <f t="shared" si="2"/>
        <v>211</v>
      </c>
      <c r="B218" s="15" t="s">
        <v>536</v>
      </c>
      <c r="C218" s="15" t="s">
        <v>537</v>
      </c>
      <c r="D218" s="2" t="s">
        <v>538</v>
      </c>
      <c r="E218" s="16">
        <v>0</v>
      </c>
      <c r="F218" s="17">
        <v>45336</v>
      </c>
      <c r="G218" s="18" t="s">
        <v>14</v>
      </c>
      <c r="H218" s="18" t="s">
        <v>36</v>
      </c>
      <c r="I218" s="19">
        <v>1</v>
      </c>
      <c r="J218" s="18" t="s">
        <v>491</v>
      </c>
      <c r="K218" s="19" t="s">
        <v>492</v>
      </c>
      <c r="L218" s="14" t="s">
        <v>281</v>
      </c>
      <c r="M218" s="49" t="str">
        <f>+VLOOKUP(C218,'[1]Table 1'!$B:$B,1,0)</f>
        <v>4600022667-001-03350-205CA-00002</v>
      </c>
    </row>
    <row r="219" spans="1:13" ht="13.5" hidden="1" customHeight="1">
      <c r="A219" s="14">
        <f t="shared" si="2"/>
        <v>212</v>
      </c>
      <c r="B219" s="15" t="s">
        <v>539</v>
      </c>
      <c r="C219" s="15" t="s">
        <v>540</v>
      </c>
      <c r="D219" s="2" t="s">
        <v>541</v>
      </c>
      <c r="E219" s="16">
        <v>1</v>
      </c>
      <c r="F219" s="17">
        <v>45336</v>
      </c>
      <c r="G219" s="18" t="s">
        <v>14</v>
      </c>
      <c r="H219" s="18" t="s">
        <v>36</v>
      </c>
      <c r="I219" s="19">
        <v>1</v>
      </c>
      <c r="J219" s="18" t="s">
        <v>491</v>
      </c>
      <c r="K219" s="19" t="s">
        <v>492</v>
      </c>
      <c r="L219" s="14" t="s">
        <v>281</v>
      </c>
      <c r="M219" s="49" t="str">
        <f>+VLOOKUP(C219,'[1]Table 1'!$B:$B,1,0)</f>
        <v>4600022667-001-03350-205CA-00003</v>
      </c>
    </row>
    <row r="220" spans="1:13" ht="13.5" hidden="1" customHeight="1">
      <c r="A220" s="14">
        <f t="shared" si="2"/>
        <v>213</v>
      </c>
      <c r="B220" s="15" t="s">
        <v>542</v>
      </c>
      <c r="C220" s="15" t="s">
        <v>543</v>
      </c>
      <c r="D220" s="2" t="s">
        <v>544</v>
      </c>
      <c r="E220" s="16" t="s">
        <v>335</v>
      </c>
      <c r="F220" s="17">
        <v>45336</v>
      </c>
      <c r="G220" s="18" t="s">
        <v>14</v>
      </c>
      <c r="H220" s="18" t="s">
        <v>36</v>
      </c>
      <c r="I220" s="19">
        <v>1</v>
      </c>
      <c r="J220" s="18" t="s">
        <v>491</v>
      </c>
      <c r="K220" s="19" t="s">
        <v>492</v>
      </c>
      <c r="L220" s="14" t="s">
        <v>281</v>
      </c>
      <c r="M220" s="49" t="str">
        <f>+VLOOKUP(C220,'[1]Table 1'!$B:$B,1,0)</f>
        <v>4600022667-001-03350-205CA-00004</v>
      </c>
    </row>
    <row r="221" spans="1:13" ht="13.5" hidden="1" customHeight="1">
      <c r="A221" s="14">
        <f t="shared" si="2"/>
        <v>214</v>
      </c>
      <c r="B221" s="15" t="s">
        <v>545</v>
      </c>
      <c r="C221" s="15" t="s">
        <v>546</v>
      </c>
      <c r="D221" s="2" t="s">
        <v>547</v>
      </c>
      <c r="E221" s="16" t="s">
        <v>335</v>
      </c>
      <c r="F221" s="17">
        <v>45336</v>
      </c>
      <c r="G221" s="18" t="s">
        <v>14</v>
      </c>
      <c r="H221" s="18" t="s">
        <v>36</v>
      </c>
      <c r="I221" s="19">
        <v>1</v>
      </c>
      <c r="J221" s="18" t="s">
        <v>491</v>
      </c>
      <c r="K221" s="19" t="s">
        <v>492</v>
      </c>
      <c r="L221" s="14" t="s">
        <v>281</v>
      </c>
      <c r="M221" s="49" t="str">
        <f>+VLOOKUP(C221,'[1]Table 1'!$B:$B,1,0)</f>
        <v>4600022667-001-03350-205CA-00005</v>
      </c>
    </row>
    <row r="222" spans="1:13" ht="13.5" hidden="1" customHeight="1">
      <c r="A222" s="14">
        <f t="shared" si="2"/>
        <v>215</v>
      </c>
      <c r="B222" s="15" t="s">
        <v>548</v>
      </c>
      <c r="C222" s="15" t="s">
        <v>549</v>
      </c>
      <c r="D222" s="2" t="s">
        <v>550</v>
      </c>
      <c r="E222" s="16" t="s">
        <v>335</v>
      </c>
      <c r="F222" s="17">
        <v>45336</v>
      </c>
      <c r="G222" s="18" t="s">
        <v>14</v>
      </c>
      <c r="H222" s="18" t="s">
        <v>36</v>
      </c>
      <c r="I222" s="19">
        <v>1</v>
      </c>
      <c r="J222" s="18" t="s">
        <v>491</v>
      </c>
      <c r="K222" s="19" t="s">
        <v>492</v>
      </c>
      <c r="L222" s="14" t="s">
        <v>281</v>
      </c>
      <c r="M222" s="49" t="str">
        <f>+VLOOKUP(C222,'[1]Table 1'!$B:$B,1,0)</f>
        <v>4600022667-001-03350-205CA-00006</v>
      </c>
    </row>
    <row r="223" spans="1:13" ht="13.5" hidden="1" customHeight="1">
      <c r="A223" s="14">
        <f t="shared" si="2"/>
        <v>216</v>
      </c>
      <c r="B223" s="15" t="s">
        <v>551</v>
      </c>
      <c r="C223" s="15" t="s">
        <v>552</v>
      </c>
      <c r="D223" s="2" t="s">
        <v>553</v>
      </c>
      <c r="E223" s="16" t="s">
        <v>335</v>
      </c>
      <c r="F223" s="17">
        <v>45336</v>
      </c>
      <c r="G223" s="18" t="s">
        <v>14</v>
      </c>
      <c r="H223" s="18" t="s">
        <v>36</v>
      </c>
      <c r="I223" s="19">
        <v>1</v>
      </c>
      <c r="J223" s="18" t="s">
        <v>491</v>
      </c>
      <c r="K223" s="19" t="s">
        <v>492</v>
      </c>
      <c r="L223" s="14" t="s">
        <v>281</v>
      </c>
      <c r="M223" s="49" t="str">
        <f>+VLOOKUP(C223,'[1]Table 1'!$B:$B,1,0)</f>
        <v>4600022667-001-03350-205CA-00007</v>
      </c>
    </row>
    <row r="224" spans="1:13" ht="13.5" hidden="1" customHeight="1">
      <c r="A224" s="14">
        <f t="shared" si="2"/>
        <v>217</v>
      </c>
      <c r="B224" s="15" t="s">
        <v>554</v>
      </c>
      <c r="C224" s="15" t="s">
        <v>555</v>
      </c>
      <c r="D224" s="2" t="s">
        <v>556</v>
      </c>
      <c r="E224" s="16" t="s">
        <v>335</v>
      </c>
      <c r="F224" s="17">
        <v>45336</v>
      </c>
      <c r="G224" s="18" t="s">
        <v>14</v>
      </c>
      <c r="H224" s="18" t="s">
        <v>36</v>
      </c>
      <c r="I224" s="19">
        <v>1</v>
      </c>
      <c r="J224" s="18" t="s">
        <v>491</v>
      </c>
      <c r="K224" s="19" t="s">
        <v>492</v>
      </c>
      <c r="L224" s="14" t="s">
        <v>281</v>
      </c>
      <c r="M224" s="49" t="str">
        <f>+VLOOKUP(C224,'[1]Table 1'!$B:$B,1,0)</f>
        <v>4600022667-001-03350-205CA-00008</v>
      </c>
    </row>
    <row r="225" spans="1:13" ht="13.5" hidden="1" customHeight="1">
      <c r="A225" s="14">
        <f t="shared" si="2"/>
        <v>218</v>
      </c>
      <c r="B225" s="15" t="s">
        <v>557</v>
      </c>
      <c r="C225" s="15" t="s">
        <v>558</v>
      </c>
      <c r="D225" s="2" t="s">
        <v>559</v>
      </c>
      <c r="E225" s="16" t="s">
        <v>335</v>
      </c>
      <c r="F225" s="17">
        <v>45336</v>
      </c>
      <c r="G225" s="18" t="s">
        <v>560</v>
      </c>
      <c r="H225" s="18" t="s">
        <v>36</v>
      </c>
      <c r="I225" s="19">
        <v>3</v>
      </c>
      <c r="J225" s="18" t="s">
        <v>491</v>
      </c>
      <c r="K225" s="19" t="s">
        <v>492</v>
      </c>
      <c r="L225" s="14" t="s">
        <v>281</v>
      </c>
      <c r="M225" s="49" t="str">
        <f>+VLOOKUP(C225,'[1]Table 1'!$B:$B,1,0)</f>
        <v>4600022667-001-03350-502CA-00001</v>
      </c>
    </row>
    <row r="226" spans="1:13" ht="13.5" hidden="1" customHeight="1">
      <c r="A226" s="14">
        <f t="shared" si="2"/>
        <v>219</v>
      </c>
      <c r="B226" s="15" t="s">
        <v>561</v>
      </c>
      <c r="C226" s="15" t="s">
        <v>562</v>
      </c>
      <c r="D226" s="2" t="s">
        <v>563</v>
      </c>
      <c r="E226" s="16" t="s">
        <v>335</v>
      </c>
      <c r="F226" s="17">
        <v>45336</v>
      </c>
      <c r="G226" s="18" t="s">
        <v>560</v>
      </c>
      <c r="H226" s="18" t="s">
        <v>36</v>
      </c>
      <c r="I226" s="19">
        <v>25</v>
      </c>
      <c r="J226" s="18" t="s">
        <v>491</v>
      </c>
      <c r="K226" s="19" t="s">
        <v>492</v>
      </c>
      <c r="L226" s="14" t="s">
        <v>281</v>
      </c>
      <c r="M226" s="49" t="str">
        <f>+VLOOKUP(C226,'[1]Table 1'!$B:$B,1,0)</f>
        <v>4600022667-001-03350-502CA-00002</v>
      </c>
    </row>
    <row r="227" spans="1:13" ht="13.5" hidden="1" customHeight="1">
      <c r="A227" s="14">
        <f t="shared" si="2"/>
        <v>220</v>
      </c>
      <c r="B227" s="15" t="s">
        <v>564</v>
      </c>
      <c r="C227" s="15" t="s">
        <v>565</v>
      </c>
      <c r="D227" s="2" t="s">
        <v>566</v>
      </c>
      <c r="E227" s="16" t="s">
        <v>335</v>
      </c>
      <c r="F227" s="17">
        <v>45336</v>
      </c>
      <c r="G227" s="18" t="s">
        <v>560</v>
      </c>
      <c r="H227" s="18" t="s">
        <v>36</v>
      </c>
      <c r="I227" s="19">
        <v>3</v>
      </c>
      <c r="J227" s="18" t="s">
        <v>491</v>
      </c>
      <c r="K227" s="19" t="s">
        <v>492</v>
      </c>
      <c r="L227" s="14" t="s">
        <v>281</v>
      </c>
      <c r="M227" s="49" t="str">
        <f>+VLOOKUP(C227,'[1]Table 1'!$B:$B,1,0)</f>
        <v>4600022667-001-03350-502CA-00003</v>
      </c>
    </row>
    <row r="228" spans="1:13" ht="13.5" hidden="1" customHeight="1">
      <c r="A228" s="14">
        <f t="shared" si="2"/>
        <v>221</v>
      </c>
      <c r="B228" s="15" t="s">
        <v>567</v>
      </c>
      <c r="C228" s="15" t="s">
        <v>568</v>
      </c>
      <c r="D228" s="2" t="s">
        <v>569</v>
      </c>
      <c r="E228" s="16" t="s">
        <v>335</v>
      </c>
      <c r="F228" s="17">
        <v>45336</v>
      </c>
      <c r="G228" s="18" t="s">
        <v>560</v>
      </c>
      <c r="H228" s="18" t="s">
        <v>36</v>
      </c>
      <c r="I228" s="19">
        <v>26</v>
      </c>
      <c r="J228" s="18" t="s">
        <v>491</v>
      </c>
      <c r="K228" s="19" t="s">
        <v>492</v>
      </c>
      <c r="L228" s="14" t="s">
        <v>281</v>
      </c>
      <c r="M228" s="49" t="str">
        <f>+VLOOKUP(C228,'[1]Table 1'!$B:$B,1,0)</f>
        <v>4600022667-001-03350-502CA-00004</v>
      </c>
    </row>
    <row r="229" spans="1:13" ht="13.5" hidden="1" customHeight="1">
      <c r="A229" s="14">
        <f t="shared" si="2"/>
        <v>222</v>
      </c>
      <c r="B229" s="15" t="s">
        <v>570</v>
      </c>
      <c r="C229" s="15" t="s">
        <v>571</v>
      </c>
      <c r="D229" s="2" t="s">
        <v>572</v>
      </c>
      <c r="E229" s="16" t="s">
        <v>335</v>
      </c>
      <c r="F229" s="17">
        <v>45336</v>
      </c>
      <c r="G229" s="18" t="s">
        <v>560</v>
      </c>
      <c r="H229" s="18" t="s">
        <v>36</v>
      </c>
      <c r="I229" s="19">
        <v>3</v>
      </c>
      <c r="J229" s="18" t="s">
        <v>491</v>
      </c>
      <c r="K229" s="19" t="s">
        <v>492</v>
      </c>
      <c r="L229" s="14" t="s">
        <v>281</v>
      </c>
      <c r="M229" s="49" t="str">
        <f>+VLOOKUP(C229,'[1]Table 1'!$B:$B,1,0)</f>
        <v>4600022667-001-03350-502CA-00005</v>
      </c>
    </row>
    <row r="230" spans="1:13" ht="13.5" hidden="1" customHeight="1">
      <c r="A230" s="14">
        <f t="shared" si="2"/>
        <v>223</v>
      </c>
      <c r="B230" s="15" t="s">
        <v>573</v>
      </c>
      <c r="C230" s="15" t="s">
        <v>574</v>
      </c>
      <c r="D230" s="2" t="s">
        <v>575</v>
      </c>
      <c r="E230" s="16" t="s">
        <v>335</v>
      </c>
      <c r="F230" s="17">
        <v>45336</v>
      </c>
      <c r="G230" s="18" t="s">
        <v>560</v>
      </c>
      <c r="H230" s="18" t="s">
        <v>36</v>
      </c>
      <c r="I230" s="19">
        <v>5</v>
      </c>
      <c r="J230" s="18" t="s">
        <v>491</v>
      </c>
      <c r="K230" s="19" t="s">
        <v>492</v>
      </c>
      <c r="L230" s="14" t="s">
        <v>281</v>
      </c>
      <c r="M230" s="49" t="str">
        <f>+VLOOKUP(C230,'[1]Table 1'!$B:$B,1,0)</f>
        <v>4600022667-001-03350-502CA-00006</v>
      </c>
    </row>
    <row r="231" spans="1:13" ht="13.5" hidden="1" customHeight="1">
      <c r="A231" s="14">
        <f t="shared" si="2"/>
        <v>224</v>
      </c>
      <c r="B231" s="15" t="s">
        <v>576</v>
      </c>
      <c r="C231" s="15" t="s">
        <v>577</v>
      </c>
      <c r="D231" s="2" t="s">
        <v>578</v>
      </c>
      <c r="E231" s="16" t="s">
        <v>335</v>
      </c>
      <c r="F231" s="17">
        <v>45336</v>
      </c>
      <c r="G231" s="18" t="s">
        <v>560</v>
      </c>
      <c r="H231" s="18" t="s">
        <v>36</v>
      </c>
      <c r="I231" s="19">
        <v>5</v>
      </c>
      <c r="J231" s="18" t="s">
        <v>491</v>
      </c>
      <c r="K231" s="19" t="s">
        <v>492</v>
      </c>
      <c r="L231" s="14" t="s">
        <v>281</v>
      </c>
      <c r="M231" s="49" t="str">
        <f>+VLOOKUP(C231,'[1]Table 1'!$B:$B,1,0)</f>
        <v>4600022667-001-03350-502CA-00007</v>
      </c>
    </row>
    <row r="232" spans="1:13" ht="13.5" hidden="1" customHeight="1">
      <c r="A232" s="14">
        <f t="shared" si="2"/>
        <v>225</v>
      </c>
      <c r="B232" s="15" t="s">
        <v>579</v>
      </c>
      <c r="C232" s="15" t="s">
        <v>580</v>
      </c>
      <c r="D232" s="2" t="s">
        <v>581</v>
      </c>
      <c r="E232" s="16" t="s">
        <v>335</v>
      </c>
      <c r="F232" s="17">
        <v>45336</v>
      </c>
      <c r="G232" s="18" t="s">
        <v>560</v>
      </c>
      <c r="H232" s="18" t="s">
        <v>36</v>
      </c>
      <c r="I232" s="19">
        <v>1</v>
      </c>
      <c r="J232" s="18" t="s">
        <v>491</v>
      </c>
      <c r="K232" s="19" t="s">
        <v>492</v>
      </c>
      <c r="L232" s="14" t="s">
        <v>281</v>
      </c>
      <c r="M232" s="49" t="str">
        <f>+VLOOKUP(C232,'[1]Table 1'!$B:$B,1,0)</f>
        <v>4600022667-001-03350-502CA-00008</v>
      </c>
    </row>
    <row r="233" spans="1:13" ht="13.5" hidden="1" customHeight="1">
      <c r="A233" s="14">
        <f t="shared" si="2"/>
        <v>226</v>
      </c>
      <c r="B233" s="15" t="s">
        <v>582</v>
      </c>
      <c r="C233" s="15" t="s">
        <v>583</v>
      </c>
      <c r="D233" s="2" t="s">
        <v>584</v>
      </c>
      <c r="E233" s="16" t="s">
        <v>335</v>
      </c>
      <c r="F233" s="17">
        <v>45336</v>
      </c>
      <c r="G233" s="18" t="s">
        <v>560</v>
      </c>
      <c r="H233" s="18" t="s">
        <v>36</v>
      </c>
      <c r="I233" s="19">
        <v>2</v>
      </c>
      <c r="J233" s="18" t="s">
        <v>491</v>
      </c>
      <c r="K233" s="19" t="s">
        <v>492</v>
      </c>
      <c r="L233" s="14" t="s">
        <v>281</v>
      </c>
      <c r="M233" s="49" t="str">
        <f>+VLOOKUP(C233,'[1]Table 1'!$B:$B,1,0)</f>
        <v>4600022667-001-03350-502CA-00009</v>
      </c>
    </row>
    <row r="234" spans="1:13" ht="13.5" hidden="1" customHeight="1">
      <c r="A234" s="14">
        <f t="shared" si="2"/>
        <v>227</v>
      </c>
      <c r="B234" s="15" t="s">
        <v>585</v>
      </c>
      <c r="C234" s="15" t="s">
        <v>586</v>
      </c>
      <c r="D234" s="2" t="s">
        <v>587</v>
      </c>
      <c r="E234" s="16" t="s">
        <v>335</v>
      </c>
      <c r="F234" s="17">
        <v>45336</v>
      </c>
      <c r="G234" s="18" t="s">
        <v>560</v>
      </c>
      <c r="H234" s="18" t="s">
        <v>36</v>
      </c>
      <c r="I234" s="19">
        <v>15</v>
      </c>
      <c r="J234" s="18" t="s">
        <v>491</v>
      </c>
      <c r="K234" s="19" t="s">
        <v>492</v>
      </c>
      <c r="L234" s="14" t="s">
        <v>281</v>
      </c>
      <c r="M234" s="49" t="str">
        <f>+VLOOKUP(C234,'[1]Table 1'!$B:$B,1,0)</f>
        <v>4600022667-001-03350-502CA-00010</v>
      </c>
    </row>
    <row r="235" spans="1:13" ht="13.5" hidden="1" customHeight="1">
      <c r="A235" s="14">
        <f t="shared" si="2"/>
        <v>228</v>
      </c>
      <c r="B235" s="15" t="s">
        <v>588</v>
      </c>
      <c r="C235" s="15" t="s">
        <v>589</v>
      </c>
      <c r="D235" s="2" t="s">
        <v>590</v>
      </c>
      <c r="E235" s="16" t="s">
        <v>335</v>
      </c>
      <c r="F235" s="17">
        <v>45336</v>
      </c>
      <c r="G235" s="18" t="s">
        <v>560</v>
      </c>
      <c r="H235" s="18" t="s">
        <v>36</v>
      </c>
      <c r="I235" s="19">
        <v>2</v>
      </c>
      <c r="J235" s="18" t="s">
        <v>491</v>
      </c>
      <c r="K235" s="19" t="s">
        <v>492</v>
      </c>
      <c r="L235" s="14" t="s">
        <v>281</v>
      </c>
      <c r="M235" s="49" t="str">
        <f>+VLOOKUP(C235,'[1]Table 1'!$B:$B,1,0)</f>
        <v>4600022667-001-03350-502CA-00011</v>
      </c>
    </row>
    <row r="236" spans="1:13" ht="13.5" hidden="1" customHeight="1">
      <c r="A236" s="14">
        <f t="shared" si="2"/>
        <v>229</v>
      </c>
      <c r="B236" s="15" t="s">
        <v>591</v>
      </c>
      <c r="C236" s="15" t="s">
        <v>592</v>
      </c>
      <c r="D236" s="2" t="s">
        <v>593</v>
      </c>
      <c r="E236" s="16">
        <v>0</v>
      </c>
      <c r="F236" s="17">
        <v>45336</v>
      </c>
      <c r="G236" s="18" t="s">
        <v>6</v>
      </c>
      <c r="H236" s="18" t="s">
        <v>36</v>
      </c>
      <c r="I236" s="19">
        <v>13</v>
      </c>
      <c r="J236" s="18" t="s">
        <v>491</v>
      </c>
      <c r="K236" s="19" t="s">
        <v>492</v>
      </c>
      <c r="L236" s="14" t="s">
        <v>281</v>
      </c>
      <c r="M236" s="49" t="str">
        <f>+VLOOKUP(C236,'[1]Table 1'!$B:$B,1,0)</f>
        <v>4600022667-001-03350-CRDCA-00001</v>
      </c>
    </row>
    <row r="237" spans="1:13" ht="13.5" hidden="1" customHeight="1">
      <c r="A237" s="14">
        <f t="shared" si="2"/>
        <v>230</v>
      </c>
      <c r="B237" s="15" t="s">
        <v>594</v>
      </c>
      <c r="C237" s="15" t="s">
        <v>595</v>
      </c>
      <c r="D237" s="2" t="s">
        <v>596</v>
      </c>
      <c r="E237" s="16" t="s">
        <v>335</v>
      </c>
      <c r="F237" s="17">
        <v>45336</v>
      </c>
      <c r="G237" s="18" t="s">
        <v>7</v>
      </c>
      <c r="H237" s="18" t="s">
        <v>36</v>
      </c>
      <c r="I237" s="19">
        <v>109</v>
      </c>
      <c r="J237" s="18" t="s">
        <v>491</v>
      </c>
      <c r="K237" s="19" t="s">
        <v>492</v>
      </c>
      <c r="L237" s="14" t="s">
        <v>281</v>
      </c>
      <c r="M237" s="49" t="str">
        <f>+VLOOKUP(C237,'[1]Table 1'!$B:$B,1,0)</f>
        <v>4600022667-001-03350-CUBCA-00001</v>
      </c>
    </row>
    <row r="238" spans="1:13" ht="13.5" hidden="1" customHeight="1">
      <c r="A238" s="14">
        <f t="shared" si="2"/>
        <v>231</v>
      </c>
      <c r="B238" s="15" t="s">
        <v>597</v>
      </c>
      <c r="C238" s="15" t="s">
        <v>598</v>
      </c>
      <c r="D238" s="2" t="s">
        <v>599</v>
      </c>
      <c r="E238" s="16">
        <v>0</v>
      </c>
      <c r="F238" s="17">
        <v>45336</v>
      </c>
      <c r="G238" s="18" t="s">
        <v>600</v>
      </c>
      <c r="H238" s="18" t="s">
        <v>36</v>
      </c>
      <c r="I238" s="19">
        <v>188</v>
      </c>
      <c r="J238" s="18" t="s">
        <v>491</v>
      </c>
      <c r="K238" s="19" t="s">
        <v>492</v>
      </c>
      <c r="L238" s="14" t="s">
        <v>281</v>
      </c>
      <c r="M238" s="49" t="str">
        <f>+VLOOKUP(C238,'[1]Table 1'!$B:$B,1,0)</f>
        <v>4600022667-001-03350-MDCCA-00001</v>
      </c>
    </row>
    <row r="239" spans="1:13" ht="13.5" hidden="1" customHeight="1">
      <c r="A239" s="14">
        <f t="shared" si="2"/>
        <v>232</v>
      </c>
      <c r="B239" s="15" t="s">
        <v>601</v>
      </c>
      <c r="C239" s="15" t="s">
        <v>602</v>
      </c>
      <c r="D239" s="2" t="s">
        <v>603</v>
      </c>
      <c r="E239" s="16">
        <v>0</v>
      </c>
      <c r="F239" s="17">
        <v>45336</v>
      </c>
      <c r="G239" s="18" t="s">
        <v>600</v>
      </c>
      <c r="H239" s="18" t="s">
        <v>36</v>
      </c>
      <c r="I239" s="19">
        <v>10</v>
      </c>
      <c r="J239" s="18" t="s">
        <v>491</v>
      </c>
      <c r="K239" s="19" t="s">
        <v>492</v>
      </c>
      <c r="L239" s="14" t="s">
        <v>281</v>
      </c>
      <c r="M239" s="49" t="str">
        <f>+VLOOKUP(C239,'[1]Table 1'!$B:$B,1,0)</f>
        <v>4600022667-001-03350-MDCCA-00002</v>
      </c>
    </row>
    <row r="240" spans="1:13" ht="13.5" customHeight="1">
      <c r="A240" s="14">
        <f t="shared" si="2"/>
        <v>233</v>
      </c>
      <c r="B240" s="15" t="s">
        <v>604</v>
      </c>
      <c r="C240" s="15" t="s">
        <v>604</v>
      </c>
      <c r="D240" s="2" t="s">
        <v>605</v>
      </c>
      <c r="E240" s="16" t="s">
        <v>335</v>
      </c>
      <c r="F240" s="17">
        <v>45336</v>
      </c>
      <c r="G240" s="18" t="s">
        <v>10</v>
      </c>
      <c r="H240" s="18" t="s">
        <v>36</v>
      </c>
      <c r="I240" s="19">
        <v>97</v>
      </c>
      <c r="J240" s="18" t="s">
        <v>37</v>
      </c>
      <c r="K240" s="19" t="s">
        <v>606</v>
      </c>
      <c r="L240" s="14" t="s">
        <v>281</v>
      </c>
      <c r="M240" s="49" t="e">
        <f>+VLOOKUP(C240,'[1]Table 1'!$B:$B,1,0)</f>
        <v>#N/A</v>
      </c>
    </row>
    <row r="241" spans="1:13" ht="13.5" hidden="1" customHeight="1">
      <c r="A241" s="14">
        <f t="shared" si="2"/>
        <v>234</v>
      </c>
      <c r="B241" s="15" t="s">
        <v>607</v>
      </c>
      <c r="C241" s="15"/>
      <c r="D241" s="2" t="s">
        <v>608</v>
      </c>
      <c r="E241" s="16" t="s">
        <v>34</v>
      </c>
      <c r="F241" s="17">
        <v>45336</v>
      </c>
      <c r="G241" s="18" t="s">
        <v>609</v>
      </c>
      <c r="H241" s="18" t="s">
        <v>36</v>
      </c>
      <c r="I241" s="19">
        <v>49</v>
      </c>
      <c r="J241" s="18" t="s">
        <v>37</v>
      </c>
      <c r="K241" s="19" t="s">
        <v>606</v>
      </c>
      <c r="L241" s="14" t="s">
        <v>38</v>
      </c>
      <c r="M241" s="49"/>
    </row>
    <row r="242" spans="1:13" ht="13.5" hidden="1" customHeight="1">
      <c r="A242" s="14">
        <f t="shared" si="2"/>
        <v>235</v>
      </c>
      <c r="B242" s="15" t="s">
        <v>610</v>
      </c>
      <c r="C242" s="15"/>
      <c r="D242" s="2" t="s">
        <v>611</v>
      </c>
      <c r="E242" s="16" t="s">
        <v>34</v>
      </c>
      <c r="F242" s="17">
        <v>45336</v>
      </c>
      <c r="G242" s="18" t="s">
        <v>11</v>
      </c>
      <c r="H242" s="18" t="s">
        <v>36</v>
      </c>
      <c r="I242" s="19" t="s">
        <v>34</v>
      </c>
      <c r="J242" s="18" t="s">
        <v>37</v>
      </c>
      <c r="K242" s="19" t="s">
        <v>606</v>
      </c>
      <c r="L242" s="14" t="s">
        <v>38</v>
      </c>
      <c r="M242" s="49"/>
    </row>
    <row r="243" spans="1:13" ht="13.5" hidden="1" customHeight="1">
      <c r="A243" s="14">
        <f t="shared" si="2"/>
        <v>236</v>
      </c>
      <c r="B243" s="15" t="s">
        <v>612</v>
      </c>
      <c r="C243" s="15"/>
      <c r="D243" s="2" t="s">
        <v>613</v>
      </c>
      <c r="E243" s="16">
        <v>7</v>
      </c>
      <c r="F243" s="17">
        <v>45336</v>
      </c>
      <c r="G243" s="18" t="s">
        <v>11</v>
      </c>
      <c r="H243" s="18" t="s">
        <v>36</v>
      </c>
      <c r="I243" s="19" t="s">
        <v>34</v>
      </c>
      <c r="J243" s="18" t="s">
        <v>234</v>
      </c>
      <c r="K243" s="19" t="s">
        <v>614</v>
      </c>
      <c r="L243" s="14" t="s">
        <v>38</v>
      </c>
      <c r="M243" s="49"/>
    </row>
    <row r="244" spans="1:13" ht="13.5" hidden="1" customHeight="1">
      <c r="A244" s="14">
        <f t="shared" si="2"/>
        <v>237</v>
      </c>
      <c r="B244" s="15" t="s">
        <v>615</v>
      </c>
      <c r="C244" s="15"/>
      <c r="D244" s="2" t="s">
        <v>616</v>
      </c>
      <c r="E244" s="16">
        <v>9</v>
      </c>
      <c r="F244" s="17">
        <v>45336</v>
      </c>
      <c r="G244" s="18" t="s">
        <v>152</v>
      </c>
      <c r="H244" s="18" t="s">
        <v>36</v>
      </c>
      <c r="I244" s="19">
        <v>12</v>
      </c>
      <c r="J244" s="18" t="s">
        <v>234</v>
      </c>
      <c r="K244" s="19" t="s">
        <v>614</v>
      </c>
      <c r="L244" s="14" t="s">
        <v>38</v>
      </c>
      <c r="M244" s="49"/>
    </row>
    <row r="245" spans="1:13" ht="13.5" hidden="1" customHeight="1">
      <c r="A245" s="33">
        <f t="shared" si="2"/>
        <v>238</v>
      </c>
      <c r="B245" s="34" t="s">
        <v>617</v>
      </c>
      <c r="C245" s="34"/>
      <c r="D245" s="35" t="s">
        <v>618</v>
      </c>
      <c r="E245" s="36">
        <v>9</v>
      </c>
      <c r="F245" s="37">
        <v>45336</v>
      </c>
      <c r="G245" s="38" t="s">
        <v>619</v>
      </c>
      <c r="H245" s="38" t="s">
        <v>620</v>
      </c>
      <c r="I245" s="39">
        <v>60</v>
      </c>
      <c r="J245" s="38" t="s">
        <v>234</v>
      </c>
      <c r="K245" s="39" t="s">
        <v>614</v>
      </c>
      <c r="L245" s="14" t="s">
        <v>38</v>
      </c>
      <c r="M245" s="49"/>
    </row>
    <row r="246" spans="1:13" ht="13.5" hidden="1" customHeight="1">
      <c r="A246" s="14">
        <f t="shared" si="2"/>
        <v>239</v>
      </c>
      <c r="B246" s="15" t="s">
        <v>621</v>
      </c>
      <c r="C246" s="15"/>
      <c r="D246" s="2" t="s">
        <v>621</v>
      </c>
      <c r="E246" s="16" t="s">
        <v>34</v>
      </c>
      <c r="F246" s="17">
        <v>45336</v>
      </c>
      <c r="G246" s="18" t="s">
        <v>41</v>
      </c>
      <c r="H246" s="18" t="s">
        <v>36</v>
      </c>
      <c r="I246" s="19" t="s">
        <v>34</v>
      </c>
      <c r="J246" s="18" t="s">
        <v>234</v>
      </c>
      <c r="K246" s="19" t="s">
        <v>622</v>
      </c>
      <c r="L246" s="14" t="s">
        <v>38</v>
      </c>
      <c r="M246" s="49"/>
    </row>
    <row r="247" spans="1:13" ht="13.5" hidden="1" customHeight="1">
      <c r="A247" s="14">
        <f t="shared" si="2"/>
        <v>240</v>
      </c>
      <c r="B247" s="15" t="s">
        <v>623</v>
      </c>
      <c r="C247" s="15"/>
      <c r="D247" s="2" t="s">
        <v>624</v>
      </c>
      <c r="E247" s="16">
        <v>13</v>
      </c>
      <c r="F247" s="17">
        <v>45336</v>
      </c>
      <c r="G247" s="18" t="s">
        <v>152</v>
      </c>
      <c r="H247" s="18" t="s">
        <v>36</v>
      </c>
      <c r="I247" s="19">
        <v>8</v>
      </c>
      <c r="J247" s="18" t="s">
        <v>234</v>
      </c>
      <c r="K247" s="19" t="s">
        <v>622</v>
      </c>
      <c r="L247" s="14" t="s">
        <v>38</v>
      </c>
      <c r="M247" s="49"/>
    </row>
    <row r="248" spans="1:13" ht="13.5" hidden="1" customHeight="1">
      <c r="A248" s="14">
        <f t="shared" si="2"/>
        <v>241</v>
      </c>
      <c r="B248" s="15" t="s">
        <v>625</v>
      </c>
      <c r="C248" s="15"/>
      <c r="D248" s="2" t="s">
        <v>626</v>
      </c>
      <c r="E248" s="16">
        <v>0</v>
      </c>
      <c r="F248" s="17">
        <v>45336</v>
      </c>
      <c r="G248" s="18" t="s">
        <v>609</v>
      </c>
      <c r="H248" s="18" t="s">
        <v>36</v>
      </c>
      <c r="I248" s="19">
        <v>83</v>
      </c>
      <c r="J248" s="18" t="s">
        <v>234</v>
      </c>
      <c r="K248" s="19" t="s">
        <v>627</v>
      </c>
      <c r="L248" s="14" t="s">
        <v>38</v>
      </c>
      <c r="M248" s="49"/>
    </row>
    <row r="249" spans="1:13" ht="13.5" hidden="1" customHeight="1">
      <c r="A249" s="14">
        <f t="shared" si="2"/>
        <v>242</v>
      </c>
      <c r="B249" s="15" t="s">
        <v>628</v>
      </c>
      <c r="C249" s="15"/>
      <c r="D249" s="2" t="s">
        <v>629</v>
      </c>
      <c r="E249" s="16">
        <v>0</v>
      </c>
      <c r="F249" s="17">
        <v>45336</v>
      </c>
      <c r="G249" s="18" t="s">
        <v>609</v>
      </c>
      <c r="H249" s="18" t="s">
        <v>36</v>
      </c>
      <c r="I249" s="19">
        <v>64</v>
      </c>
      <c r="J249" s="18" t="s">
        <v>234</v>
      </c>
      <c r="K249" s="19" t="s">
        <v>627</v>
      </c>
      <c r="L249" s="14" t="s">
        <v>38</v>
      </c>
      <c r="M249" s="49"/>
    </row>
    <row r="250" spans="1:13" ht="13.5" hidden="1" customHeight="1">
      <c r="A250" s="20">
        <f t="shared" si="2"/>
        <v>243</v>
      </c>
      <c r="B250" s="21" t="s">
        <v>630</v>
      </c>
      <c r="C250" s="21"/>
      <c r="D250" s="1" t="s">
        <v>631</v>
      </c>
      <c r="E250" s="22">
        <v>0</v>
      </c>
      <c r="F250" s="23">
        <v>45336</v>
      </c>
      <c r="G250" s="24" t="s">
        <v>609</v>
      </c>
      <c r="H250" s="24" t="s">
        <v>49</v>
      </c>
      <c r="I250" s="25">
        <v>76</v>
      </c>
      <c r="J250" s="24" t="s">
        <v>234</v>
      </c>
      <c r="K250" s="25" t="s">
        <v>627</v>
      </c>
      <c r="L250" s="14" t="s">
        <v>38</v>
      </c>
      <c r="M250" s="49"/>
    </row>
    <row r="251" spans="1:13" ht="13.5" hidden="1" customHeight="1">
      <c r="A251" s="20">
        <f t="shared" si="2"/>
        <v>244</v>
      </c>
      <c r="B251" s="21" t="s">
        <v>632</v>
      </c>
      <c r="C251" s="21"/>
      <c r="D251" s="1" t="s">
        <v>34</v>
      </c>
      <c r="E251" s="22" t="s">
        <v>34</v>
      </c>
      <c r="F251" s="23">
        <v>45336</v>
      </c>
      <c r="G251" s="24" t="s">
        <v>633</v>
      </c>
      <c r="H251" s="24" t="s">
        <v>634</v>
      </c>
      <c r="I251" s="25" t="s">
        <v>34</v>
      </c>
      <c r="J251" s="24" t="s">
        <v>34</v>
      </c>
      <c r="K251" s="25" t="s">
        <v>627</v>
      </c>
      <c r="L251" s="20" t="s">
        <v>38</v>
      </c>
      <c r="M251" s="49"/>
    </row>
    <row r="252" spans="1:13" ht="13.5" hidden="1" customHeight="1">
      <c r="A252" s="20">
        <f t="shared" si="2"/>
        <v>245</v>
      </c>
      <c r="B252" s="21" t="s">
        <v>635</v>
      </c>
      <c r="C252" s="21"/>
      <c r="D252" s="1" t="s">
        <v>34</v>
      </c>
      <c r="E252" s="22" t="s">
        <v>34</v>
      </c>
      <c r="F252" s="23">
        <v>45336</v>
      </c>
      <c r="G252" s="24" t="s">
        <v>633</v>
      </c>
      <c r="H252" s="24" t="s">
        <v>634</v>
      </c>
      <c r="I252" s="25" t="s">
        <v>34</v>
      </c>
      <c r="J252" s="24" t="s">
        <v>34</v>
      </c>
      <c r="K252" s="25" t="s">
        <v>627</v>
      </c>
      <c r="L252" s="20" t="s">
        <v>38</v>
      </c>
      <c r="M252" s="49"/>
    </row>
    <row r="253" spans="1:13" ht="13.5" hidden="1" customHeight="1">
      <c r="A253" s="14">
        <f t="shared" si="2"/>
        <v>246</v>
      </c>
      <c r="B253" s="15" t="s">
        <v>636</v>
      </c>
      <c r="C253" s="15"/>
      <c r="D253" s="2" t="s">
        <v>637</v>
      </c>
      <c r="E253" s="16">
        <v>0</v>
      </c>
      <c r="F253" s="17">
        <v>45336</v>
      </c>
      <c r="G253" s="18" t="s">
        <v>609</v>
      </c>
      <c r="H253" s="18" t="s">
        <v>36</v>
      </c>
      <c r="I253" s="19">
        <v>65</v>
      </c>
      <c r="J253" s="18" t="s">
        <v>234</v>
      </c>
      <c r="K253" s="19" t="s">
        <v>627</v>
      </c>
      <c r="L253" s="14" t="s">
        <v>38</v>
      </c>
      <c r="M253" s="49"/>
    </row>
    <row r="254" spans="1:13" ht="13.5" hidden="1" customHeight="1">
      <c r="A254" s="20">
        <f t="shared" si="2"/>
        <v>247</v>
      </c>
      <c r="B254" s="21" t="s">
        <v>638</v>
      </c>
      <c r="C254" s="21"/>
      <c r="D254" s="1" t="s">
        <v>34</v>
      </c>
      <c r="E254" s="22" t="s">
        <v>34</v>
      </c>
      <c r="F254" s="23">
        <v>45336</v>
      </c>
      <c r="G254" s="24" t="s">
        <v>633</v>
      </c>
      <c r="H254" s="24" t="s">
        <v>634</v>
      </c>
      <c r="I254" s="25" t="s">
        <v>34</v>
      </c>
      <c r="J254" s="24" t="s">
        <v>34</v>
      </c>
      <c r="K254" s="25" t="s">
        <v>627</v>
      </c>
      <c r="L254" s="20" t="s">
        <v>38</v>
      </c>
      <c r="M254" s="49"/>
    </row>
    <row r="255" spans="1:13" ht="13.5" hidden="1" customHeight="1">
      <c r="A255" s="14">
        <f t="shared" si="2"/>
        <v>248</v>
      </c>
      <c r="B255" s="15" t="s">
        <v>639</v>
      </c>
      <c r="C255" s="15"/>
      <c r="D255" s="2" t="s">
        <v>640</v>
      </c>
      <c r="E255" s="16">
        <v>0</v>
      </c>
      <c r="F255" s="17">
        <v>45336</v>
      </c>
      <c r="G255" s="18" t="s">
        <v>609</v>
      </c>
      <c r="H255" s="18" t="s">
        <v>36</v>
      </c>
      <c r="I255" s="19">
        <v>51</v>
      </c>
      <c r="J255" s="18" t="s">
        <v>234</v>
      </c>
      <c r="K255" s="19" t="s">
        <v>627</v>
      </c>
      <c r="L255" s="14" t="s">
        <v>38</v>
      </c>
      <c r="M255" s="49"/>
    </row>
    <row r="256" spans="1:13" ht="13.5" hidden="1" customHeight="1">
      <c r="A256" s="14">
        <f t="shared" si="2"/>
        <v>249</v>
      </c>
      <c r="B256" s="15" t="s">
        <v>641</v>
      </c>
      <c r="C256" s="15"/>
      <c r="D256" s="2" t="s">
        <v>642</v>
      </c>
      <c r="E256" s="16">
        <v>0</v>
      </c>
      <c r="F256" s="17">
        <v>45336</v>
      </c>
      <c r="G256" s="18" t="s">
        <v>609</v>
      </c>
      <c r="H256" s="18" t="s">
        <v>36</v>
      </c>
      <c r="I256" s="19">
        <v>62</v>
      </c>
      <c r="J256" s="18" t="s">
        <v>234</v>
      </c>
      <c r="K256" s="19" t="s">
        <v>627</v>
      </c>
      <c r="L256" s="14" t="s">
        <v>38</v>
      </c>
      <c r="M256" s="49"/>
    </row>
    <row r="257" spans="1:13" ht="13.5" hidden="1" customHeight="1">
      <c r="A257" s="14">
        <f t="shared" si="2"/>
        <v>250</v>
      </c>
      <c r="B257" s="15" t="s">
        <v>643</v>
      </c>
      <c r="C257" s="15"/>
      <c r="D257" s="2" t="s">
        <v>644</v>
      </c>
      <c r="E257" s="16">
        <v>0</v>
      </c>
      <c r="F257" s="17">
        <v>45336</v>
      </c>
      <c r="G257" s="18" t="s">
        <v>609</v>
      </c>
      <c r="H257" s="18" t="s">
        <v>36</v>
      </c>
      <c r="I257" s="19">
        <v>66</v>
      </c>
      <c r="J257" s="18" t="s">
        <v>234</v>
      </c>
      <c r="K257" s="19" t="s">
        <v>627</v>
      </c>
      <c r="L257" s="14" t="s">
        <v>38</v>
      </c>
      <c r="M257" s="49"/>
    </row>
    <row r="258" spans="1:13" ht="13.5" hidden="1" customHeight="1">
      <c r="A258" s="14">
        <f t="shared" si="2"/>
        <v>251</v>
      </c>
      <c r="B258" s="15" t="s">
        <v>645</v>
      </c>
      <c r="C258" s="15"/>
      <c r="D258" s="2" t="s">
        <v>646</v>
      </c>
      <c r="E258" s="16">
        <v>0</v>
      </c>
      <c r="F258" s="17">
        <v>45336</v>
      </c>
      <c r="G258" s="18" t="s">
        <v>609</v>
      </c>
      <c r="H258" s="18" t="s">
        <v>36</v>
      </c>
      <c r="I258" s="19">
        <v>61</v>
      </c>
      <c r="J258" s="18" t="s">
        <v>234</v>
      </c>
      <c r="K258" s="19" t="s">
        <v>627</v>
      </c>
      <c r="L258" s="14" t="s">
        <v>38</v>
      </c>
      <c r="M258" s="49"/>
    </row>
    <row r="259" spans="1:13" ht="13.5" hidden="1" customHeight="1">
      <c r="A259" s="14">
        <f t="shared" si="2"/>
        <v>252</v>
      </c>
      <c r="B259" s="15" t="s">
        <v>647</v>
      </c>
      <c r="C259" s="15"/>
      <c r="D259" s="2" t="s">
        <v>648</v>
      </c>
      <c r="E259" s="16">
        <v>0</v>
      </c>
      <c r="F259" s="17">
        <v>45336</v>
      </c>
      <c r="G259" s="18" t="s">
        <v>609</v>
      </c>
      <c r="H259" s="18" t="s">
        <v>36</v>
      </c>
      <c r="I259" s="19">
        <v>55</v>
      </c>
      <c r="J259" s="18" t="s">
        <v>234</v>
      </c>
      <c r="K259" s="19" t="s">
        <v>627</v>
      </c>
      <c r="L259" s="14" t="s">
        <v>38</v>
      </c>
      <c r="M259" s="49"/>
    </row>
    <row r="260" spans="1:13" ht="13.5" hidden="1" customHeight="1">
      <c r="A260" s="20">
        <f t="shared" ref="A260:A323" si="3">ROW()-7</f>
        <v>253</v>
      </c>
      <c r="B260" s="21" t="s">
        <v>649</v>
      </c>
      <c r="C260" s="21"/>
      <c r="D260" s="1" t="s">
        <v>34</v>
      </c>
      <c r="E260" s="22" t="s">
        <v>34</v>
      </c>
      <c r="F260" s="23">
        <v>45336</v>
      </c>
      <c r="G260" s="24" t="s">
        <v>633</v>
      </c>
      <c r="H260" s="24" t="s">
        <v>634</v>
      </c>
      <c r="I260" s="25" t="s">
        <v>34</v>
      </c>
      <c r="J260" s="24" t="s">
        <v>34</v>
      </c>
      <c r="K260" s="25" t="s">
        <v>627</v>
      </c>
      <c r="L260" s="20" t="s">
        <v>38</v>
      </c>
      <c r="M260" s="49"/>
    </row>
    <row r="261" spans="1:13" ht="13.5" hidden="1" customHeight="1">
      <c r="A261" s="14">
        <f t="shared" si="3"/>
        <v>254</v>
      </c>
      <c r="B261" s="15" t="s">
        <v>650</v>
      </c>
      <c r="C261" s="15"/>
      <c r="D261" s="2" t="s">
        <v>651</v>
      </c>
      <c r="E261" s="16">
        <v>0</v>
      </c>
      <c r="F261" s="17">
        <v>45336</v>
      </c>
      <c r="G261" s="18" t="s">
        <v>609</v>
      </c>
      <c r="H261" s="18" t="s">
        <v>36</v>
      </c>
      <c r="I261" s="19">
        <v>69</v>
      </c>
      <c r="J261" s="18" t="s">
        <v>234</v>
      </c>
      <c r="K261" s="19" t="s">
        <v>627</v>
      </c>
      <c r="L261" s="14" t="s">
        <v>38</v>
      </c>
      <c r="M261" s="49"/>
    </row>
    <row r="262" spans="1:13" ht="13.5" hidden="1" customHeight="1">
      <c r="A262" s="20">
        <f t="shared" si="3"/>
        <v>255</v>
      </c>
      <c r="B262" s="21" t="s">
        <v>652</v>
      </c>
      <c r="C262" s="21"/>
      <c r="D262" s="1" t="s">
        <v>34</v>
      </c>
      <c r="E262" s="22" t="s">
        <v>34</v>
      </c>
      <c r="F262" s="23">
        <v>45336</v>
      </c>
      <c r="G262" s="24" t="s">
        <v>633</v>
      </c>
      <c r="H262" s="24" t="s">
        <v>634</v>
      </c>
      <c r="I262" s="25" t="s">
        <v>34</v>
      </c>
      <c r="J262" s="24" t="s">
        <v>34</v>
      </c>
      <c r="K262" s="25" t="s">
        <v>627</v>
      </c>
      <c r="L262" s="20" t="s">
        <v>38</v>
      </c>
      <c r="M262" s="49"/>
    </row>
    <row r="263" spans="1:13" ht="13.5" hidden="1" customHeight="1">
      <c r="A263" s="20">
        <f t="shared" si="3"/>
        <v>256</v>
      </c>
      <c r="B263" s="21" t="s">
        <v>653</v>
      </c>
      <c r="C263" s="21"/>
      <c r="D263" s="1" t="s">
        <v>34</v>
      </c>
      <c r="E263" s="22" t="s">
        <v>34</v>
      </c>
      <c r="F263" s="23">
        <v>45336</v>
      </c>
      <c r="G263" s="24" t="s">
        <v>633</v>
      </c>
      <c r="H263" s="24" t="s">
        <v>634</v>
      </c>
      <c r="I263" s="25" t="s">
        <v>34</v>
      </c>
      <c r="J263" s="24" t="s">
        <v>34</v>
      </c>
      <c r="K263" s="25" t="s">
        <v>627</v>
      </c>
      <c r="L263" s="20" t="s">
        <v>38</v>
      </c>
      <c r="M263" s="49"/>
    </row>
    <row r="264" spans="1:13" ht="13.5" hidden="1" customHeight="1">
      <c r="A264" s="20">
        <f t="shared" si="3"/>
        <v>257</v>
      </c>
      <c r="B264" s="21" t="s">
        <v>654</v>
      </c>
      <c r="C264" s="21"/>
      <c r="D264" s="1" t="s">
        <v>34</v>
      </c>
      <c r="E264" s="22" t="s">
        <v>34</v>
      </c>
      <c r="F264" s="23">
        <v>45336</v>
      </c>
      <c r="G264" s="24" t="s">
        <v>633</v>
      </c>
      <c r="H264" s="24" t="s">
        <v>634</v>
      </c>
      <c r="I264" s="25" t="s">
        <v>34</v>
      </c>
      <c r="J264" s="24" t="s">
        <v>34</v>
      </c>
      <c r="K264" s="25" t="s">
        <v>627</v>
      </c>
      <c r="L264" s="20" t="s">
        <v>38</v>
      </c>
      <c r="M264" s="49"/>
    </row>
    <row r="265" spans="1:13" ht="13.5" hidden="1" customHeight="1">
      <c r="A265" s="14">
        <f t="shared" si="3"/>
        <v>258</v>
      </c>
      <c r="B265" s="15" t="s">
        <v>655</v>
      </c>
      <c r="C265" s="15"/>
      <c r="D265" s="2" t="s">
        <v>656</v>
      </c>
      <c r="E265" s="16">
        <v>0</v>
      </c>
      <c r="F265" s="17">
        <v>45336</v>
      </c>
      <c r="G265" s="18" t="s">
        <v>609</v>
      </c>
      <c r="H265" s="18" t="s">
        <v>36</v>
      </c>
      <c r="I265" s="19">
        <v>80</v>
      </c>
      <c r="J265" s="18" t="s">
        <v>234</v>
      </c>
      <c r="K265" s="19" t="s">
        <v>627</v>
      </c>
      <c r="L265" s="14" t="s">
        <v>38</v>
      </c>
      <c r="M265" s="49"/>
    </row>
    <row r="266" spans="1:13" ht="13.5" hidden="1" customHeight="1">
      <c r="A266" s="20">
        <f t="shared" si="3"/>
        <v>259</v>
      </c>
      <c r="B266" s="21" t="s">
        <v>657</v>
      </c>
      <c r="C266" s="21"/>
      <c r="D266" s="1" t="s">
        <v>34</v>
      </c>
      <c r="E266" s="22" t="s">
        <v>34</v>
      </c>
      <c r="F266" s="23">
        <v>45336</v>
      </c>
      <c r="G266" s="24" t="s">
        <v>633</v>
      </c>
      <c r="H266" s="24" t="s">
        <v>634</v>
      </c>
      <c r="I266" s="25" t="s">
        <v>34</v>
      </c>
      <c r="J266" s="24" t="s">
        <v>34</v>
      </c>
      <c r="K266" s="25" t="s">
        <v>627</v>
      </c>
      <c r="L266" s="20" t="s">
        <v>38</v>
      </c>
      <c r="M266" s="49"/>
    </row>
    <row r="267" spans="1:13" ht="13.5" hidden="1" customHeight="1">
      <c r="A267" s="20">
        <f t="shared" si="3"/>
        <v>260</v>
      </c>
      <c r="B267" s="21" t="s">
        <v>658</v>
      </c>
      <c r="C267" s="21"/>
      <c r="D267" s="1" t="s">
        <v>34</v>
      </c>
      <c r="E267" s="22" t="s">
        <v>34</v>
      </c>
      <c r="F267" s="23">
        <v>45336</v>
      </c>
      <c r="G267" s="24" t="s">
        <v>633</v>
      </c>
      <c r="H267" s="24" t="s">
        <v>634</v>
      </c>
      <c r="I267" s="25" t="s">
        <v>34</v>
      </c>
      <c r="J267" s="24" t="s">
        <v>34</v>
      </c>
      <c r="K267" s="25" t="s">
        <v>627</v>
      </c>
      <c r="L267" s="20" t="s">
        <v>38</v>
      </c>
      <c r="M267" s="49"/>
    </row>
    <row r="268" spans="1:13" ht="13.5" hidden="1" customHeight="1">
      <c r="A268" s="14">
        <f t="shared" si="3"/>
        <v>261</v>
      </c>
      <c r="B268" s="15" t="s">
        <v>659</v>
      </c>
      <c r="C268" s="15"/>
      <c r="D268" s="2" t="s">
        <v>660</v>
      </c>
      <c r="E268" s="16">
        <v>0</v>
      </c>
      <c r="F268" s="17">
        <v>45336</v>
      </c>
      <c r="G268" s="18" t="s">
        <v>609</v>
      </c>
      <c r="H268" s="18" t="s">
        <v>36</v>
      </c>
      <c r="I268" s="19">
        <v>111</v>
      </c>
      <c r="J268" s="18" t="s">
        <v>234</v>
      </c>
      <c r="K268" s="19" t="s">
        <v>627</v>
      </c>
      <c r="L268" s="14" t="s">
        <v>38</v>
      </c>
      <c r="M268" s="49"/>
    </row>
    <row r="269" spans="1:13" ht="13.5" hidden="1" customHeight="1">
      <c r="A269" s="14">
        <f t="shared" si="3"/>
        <v>262</v>
      </c>
      <c r="B269" s="15" t="s">
        <v>661</v>
      </c>
      <c r="C269" s="15"/>
      <c r="D269" s="2" t="s">
        <v>662</v>
      </c>
      <c r="E269" s="16">
        <v>0</v>
      </c>
      <c r="F269" s="17">
        <v>45336</v>
      </c>
      <c r="G269" s="18" t="s">
        <v>609</v>
      </c>
      <c r="H269" s="18" t="s">
        <v>36</v>
      </c>
      <c r="I269" s="19">
        <v>69</v>
      </c>
      <c r="J269" s="18" t="s">
        <v>234</v>
      </c>
      <c r="K269" s="19" t="s">
        <v>627</v>
      </c>
      <c r="L269" s="14" t="s">
        <v>38</v>
      </c>
      <c r="M269" s="49"/>
    </row>
    <row r="270" spans="1:13" ht="13.5" hidden="1" customHeight="1">
      <c r="A270" s="14">
        <f t="shared" si="3"/>
        <v>263</v>
      </c>
      <c r="B270" s="15" t="s">
        <v>663</v>
      </c>
      <c r="C270" s="15"/>
      <c r="D270" s="2" t="s">
        <v>664</v>
      </c>
      <c r="E270" s="16">
        <v>0</v>
      </c>
      <c r="F270" s="17">
        <v>45336</v>
      </c>
      <c r="G270" s="18" t="s">
        <v>609</v>
      </c>
      <c r="H270" s="18" t="s">
        <v>36</v>
      </c>
      <c r="I270" s="19">
        <v>83</v>
      </c>
      <c r="J270" s="18" t="s">
        <v>234</v>
      </c>
      <c r="K270" s="19" t="s">
        <v>627</v>
      </c>
      <c r="L270" s="14" t="s">
        <v>38</v>
      </c>
      <c r="M270" s="49"/>
    </row>
    <row r="271" spans="1:13" ht="13.5" hidden="1" customHeight="1">
      <c r="A271" s="20">
        <f t="shared" si="3"/>
        <v>264</v>
      </c>
      <c r="B271" s="21" t="s">
        <v>665</v>
      </c>
      <c r="C271" s="21"/>
      <c r="D271" s="1" t="s">
        <v>34</v>
      </c>
      <c r="E271" s="22" t="s">
        <v>34</v>
      </c>
      <c r="F271" s="23">
        <v>45336</v>
      </c>
      <c r="G271" s="24" t="s">
        <v>633</v>
      </c>
      <c r="H271" s="24" t="s">
        <v>634</v>
      </c>
      <c r="I271" s="25" t="s">
        <v>34</v>
      </c>
      <c r="J271" s="24" t="s">
        <v>34</v>
      </c>
      <c r="K271" s="25" t="s">
        <v>627</v>
      </c>
      <c r="L271" s="20" t="s">
        <v>38</v>
      </c>
      <c r="M271" s="49"/>
    </row>
    <row r="272" spans="1:13" ht="13.5" hidden="1" customHeight="1">
      <c r="A272" s="14">
        <f t="shared" si="3"/>
        <v>265</v>
      </c>
      <c r="B272" s="15" t="s">
        <v>666</v>
      </c>
      <c r="C272" s="15"/>
      <c r="D272" s="2" t="s">
        <v>667</v>
      </c>
      <c r="E272" s="16">
        <v>0</v>
      </c>
      <c r="F272" s="17">
        <v>45336</v>
      </c>
      <c r="G272" s="18" t="s">
        <v>668</v>
      </c>
      <c r="H272" s="18" t="s">
        <v>36</v>
      </c>
      <c r="I272" s="19">
        <v>44</v>
      </c>
      <c r="J272" s="18" t="s">
        <v>234</v>
      </c>
      <c r="K272" s="19" t="s">
        <v>627</v>
      </c>
      <c r="L272" s="14" t="s">
        <v>38</v>
      </c>
      <c r="M272" s="49"/>
    </row>
    <row r="273" spans="1:13" ht="13.5" hidden="1" customHeight="1">
      <c r="A273" s="20">
        <f t="shared" si="3"/>
        <v>266</v>
      </c>
      <c r="B273" s="21" t="s">
        <v>669</v>
      </c>
      <c r="C273" s="21"/>
      <c r="D273" s="1" t="s">
        <v>34</v>
      </c>
      <c r="E273" s="22" t="s">
        <v>34</v>
      </c>
      <c r="F273" s="23">
        <v>45336</v>
      </c>
      <c r="G273" s="24" t="s">
        <v>633</v>
      </c>
      <c r="H273" s="24" t="s">
        <v>634</v>
      </c>
      <c r="I273" s="25" t="s">
        <v>34</v>
      </c>
      <c r="J273" s="24" t="s">
        <v>34</v>
      </c>
      <c r="K273" s="25" t="s">
        <v>670</v>
      </c>
      <c r="L273" s="20" t="s">
        <v>38</v>
      </c>
      <c r="M273" s="49"/>
    </row>
    <row r="274" spans="1:13" ht="13.5" hidden="1" customHeight="1">
      <c r="A274" s="14">
        <f t="shared" si="3"/>
        <v>267</v>
      </c>
      <c r="B274" s="15" t="s">
        <v>671</v>
      </c>
      <c r="C274" s="15"/>
      <c r="D274" s="2" t="s">
        <v>672</v>
      </c>
      <c r="E274" s="16" t="s">
        <v>34</v>
      </c>
      <c r="F274" s="17">
        <v>45336</v>
      </c>
      <c r="G274" s="18" t="s">
        <v>668</v>
      </c>
      <c r="H274" s="18" t="s">
        <v>36</v>
      </c>
      <c r="I274" s="19">
        <v>214</v>
      </c>
      <c r="J274" s="18" t="s">
        <v>234</v>
      </c>
      <c r="K274" s="19" t="s">
        <v>670</v>
      </c>
      <c r="L274" s="14" t="s">
        <v>38</v>
      </c>
      <c r="M274" s="49"/>
    </row>
    <row r="275" spans="1:13" ht="13.5" hidden="1" customHeight="1">
      <c r="A275" s="14">
        <f t="shared" si="3"/>
        <v>268</v>
      </c>
      <c r="B275" s="15" t="s">
        <v>673</v>
      </c>
      <c r="C275" s="15"/>
      <c r="D275" s="2" t="s">
        <v>674</v>
      </c>
      <c r="E275" s="16" t="s">
        <v>34</v>
      </c>
      <c r="F275" s="17">
        <v>45336</v>
      </c>
      <c r="G275" s="18" t="s">
        <v>668</v>
      </c>
      <c r="H275" s="18" t="s">
        <v>36</v>
      </c>
      <c r="I275" s="19">
        <v>66</v>
      </c>
      <c r="J275" s="18" t="s">
        <v>234</v>
      </c>
      <c r="K275" s="19" t="s">
        <v>670</v>
      </c>
      <c r="L275" s="14" t="s">
        <v>38</v>
      </c>
      <c r="M275" s="49"/>
    </row>
    <row r="276" spans="1:13" ht="13.5" hidden="1" customHeight="1">
      <c r="A276" s="20">
        <f t="shared" si="3"/>
        <v>269</v>
      </c>
      <c r="B276" s="21" t="s">
        <v>675</v>
      </c>
      <c r="C276" s="21"/>
      <c r="D276" s="1" t="s">
        <v>34</v>
      </c>
      <c r="E276" s="22" t="s">
        <v>34</v>
      </c>
      <c r="F276" s="23">
        <v>45336</v>
      </c>
      <c r="G276" s="24" t="s">
        <v>633</v>
      </c>
      <c r="H276" s="24" t="s">
        <v>634</v>
      </c>
      <c r="I276" s="25" t="s">
        <v>34</v>
      </c>
      <c r="J276" s="24" t="s">
        <v>34</v>
      </c>
      <c r="K276" s="25" t="s">
        <v>676</v>
      </c>
      <c r="L276" s="20" t="s">
        <v>38</v>
      </c>
      <c r="M276" s="49"/>
    </row>
    <row r="277" spans="1:13" ht="13.5" hidden="1" customHeight="1">
      <c r="A277" s="14">
        <f t="shared" si="3"/>
        <v>270</v>
      </c>
      <c r="B277" s="15" t="s">
        <v>677</v>
      </c>
      <c r="C277" s="15"/>
      <c r="D277" s="2" t="s">
        <v>678</v>
      </c>
      <c r="E277" s="16">
        <v>0</v>
      </c>
      <c r="F277" s="17">
        <v>45336</v>
      </c>
      <c r="G277" s="18" t="s">
        <v>41</v>
      </c>
      <c r="H277" s="18" t="s">
        <v>36</v>
      </c>
      <c r="I277" s="19" t="s">
        <v>34</v>
      </c>
      <c r="J277" s="18" t="s">
        <v>234</v>
      </c>
      <c r="K277" s="19" t="s">
        <v>676</v>
      </c>
      <c r="L277" s="14" t="s">
        <v>38</v>
      </c>
      <c r="M277" s="49"/>
    </row>
    <row r="278" spans="1:13" ht="13.5" hidden="1" customHeight="1">
      <c r="A278" s="20">
        <f t="shared" si="3"/>
        <v>271</v>
      </c>
      <c r="B278" s="21" t="s">
        <v>679</v>
      </c>
      <c r="C278" s="21"/>
      <c r="D278" s="1" t="s">
        <v>34</v>
      </c>
      <c r="E278" s="22" t="s">
        <v>34</v>
      </c>
      <c r="F278" s="23">
        <v>45336</v>
      </c>
      <c r="G278" s="24" t="s">
        <v>633</v>
      </c>
      <c r="H278" s="24" t="s">
        <v>634</v>
      </c>
      <c r="I278" s="25" t="s">
        <v>34</v>
      </c>
      <c r="J278" s="24" t="s">
        <v>34</v>
      </c>
      <c r="K278" s="25" t="s">
        <v>676</v>
      </c>
      <c r="L278" s="20" t="s">
        <v>38</v>
      </c>
      <c r="M278" s="49"/>
    </row>
    <row r="279" spans="1:13" ht="13.5" hidden="1" customHeight="1">
      <c r="A279" s="14">
        <f t="shared" si="3"/>
        <v>272</v>
      </c>
      <c r="B279" s="15" t="s">
        <v>680</v>
      </c>
      <c r="C279" s="15"/>
      <c r="D279" s="2" t="s">
        <v>680</v>
      </c>
      <c r="E279" s="16">
        <v>1</v>
      </c>
      <c r="F279" s="17">
        <v>45336</v>
      </c>
      <c r="G279" s="18" t="s">
        <v>152</v>
      </c>
      <c r="H279" s="18" t="s">
        <v>36</v>
      </c>
      <c r="I279" s="19">
        <v>12</v>
      </c>
      <c r="J279" s="18" t="s">
        <v>234</v>
      </c>
      <c r="K279" s="19" t="s">
        <v>681</v>
      </c>
      <c r="L279" s="14" t="s">
        <v>38</v>
      </c>
      <c r="M279" s="49"/>
    </row>
    <row r="280" spans="1:13" ht="13.5" hidden="1" customHeight="1">
      <c r="A280" s="14">
        <f t="shared" si="3"/>
        <v>273</v>
      </c>
      <c r="B280" s="15" t="s">
        <v>682</v>
      </c>
      <c r="C280" s="15"/>
      <c r="D280" s="2" t="s">
        <v>683</v>
      </c>
      <c r="E280" s="16">
        <v>4</v>
      </c>
      <c r="F280" s="17">
        <v>45336</v>
      </c>
      <c r="G280" s="18" t="s">
        <v>152</v>
      </c>
      <c r="H280" s="18" t="s">
        <v>36</v>
      </c>
      <c r="I280" s="19">
        <v>21</v>
      </c>
      <c r="J280" s="18" t="s">
        <v>234</v>
      </c>
      <c r="K280" s="19" t="s">
        <v>681</v>
      </c>
      <c r="L280" s="14" t="s">
        <v>38</v>
      </c>
      <c r="M280" s="49"/>
    </row>
    <row r="281" spans="1:13" ht="13.5" hidden="1" customHeight="1">
      <c r="A281" s="14">
        <f t="shared" si="3"/>
        <v>274</v>
      </c>
      <c r="B281" s="15" t="s">
        <v>684</v>
      </c>
      <c r="C281" s="15"/>
      <c r="D281" s="2" t="s">
        <v>685</v>
      </c>
      <c r="E281" s="16">
        <v>1</v>
      </c>
      <c r="F281" s="17">
        <v>45336</v>
      </c>
      <c r="G281" s="18" t="s">
        <v>686</v>
      </c>
      <c r="H281" s="18" t="s">
        <v>36</v>
      </c>
      <c r="I281" s="19">
        <v>11</v>
      </c>
      <c r="J281" s="18" t="s">
        <v>234</v>
      </c>
      <c r="K281" s="19" t="s">
        <v>681</v>
      </c>
      <c r="L281" s="14" t="s">
        <v>38</v>
      </c>
      <c r="M281" s="49"/>
    </row>
    <row r="282" spans="1:13" ht="13.5" hidden="1" customHeight="1">
      <c r="A282" s="14">
        <f t="shared" si="3"/>
        <v>275</v>
      </c>
      <c r="B282" s="15" t="s">
        <v>687</v>
      </c>
      <c r="C282" s="15"/>
      <c r="D282" s="2" t="s">
        <v>688</v>
      </c>
      <c r="E282" s="16" t="s">
        <v>34</v>
      </c>
      <c r="F282" s="17">
        <v>45336</v>
      </c>
      <c r="G282" s="18" t="s">
        <v>609</v>
      </c>
      <c r="H282" s="18" t="s">
        <v>36</v>
      </c>
      <c r="I282" s="19">
        <v>7</v>
      </c>
      <c r="J282" s="18" t="s">
        <v>234</v>
      </c>
      <c r="K282" s="19" t="s">
        <v>681</v>
      </c>
      <c r="L282" s="14" t="s">
        <v>38</v>
      </c>
      <c r="M282" s="49"/>
    </row>
    <row r="283" spans="1:13" ht="13.5" hidden="1" customHeight="1">
      <c r="A283" s="14">
        <f t="shared" si="3"/>
        <v>276</v>
      </c>
      <c r="B283" s="15" t="s">
        <v>689</v>
      </c>
      <c r="C283" s="15"/>
      <c r="D283" s="2" t="s">
        <v>690</v>
      </c>
      <c r="E283" s="16">
        <v>0</v>
      </c>
      <c r="F283" s="17">
        <v>45336</v>
      </c>
      <c r="G283" s="18" t="s">
        <v>152</v>
      </c>
      <c r="H283" s="18" t="s">
        <v>36</v>
      </c>
      <c r="I283" s="19">
        <v>23</v>
      </c>
      <c r="J283" s="18" t="s">
        <v>234</v>
      </c>
      <c r="K283" s="19" t="s">
        <v>681</v>
      </c>
      <c r="L283" s="14" t="s">
        <v>38</v>
      </c>
      <c r="M283" s="49"/>
    </row>
    <row r="284" spans="1:13" ht="13.5" hidden="1" customHeight="1">
      <c r="A284" s="20">
        <f t="shared" si="3"/>
        <v>277</v>
      </c>
      <c r="B284" s="21" t="s">
        <v>691</v>
      </c>
      <c r="C284" s="21"/>
      <c r="D284" s="1" t="s">
        <v>34</v>
      </c>
      <c r="E284" s="22" t="s">
        <v>34</v>
      </c>
      <c r="F284" s="23">
        <v>45336</v>
      </c>
      <c r="G284" s="24" t="s">
        <v>633</v>
      </c>
      <c r="H284" s="24" t="s">
        <v>634</v>
      </c>
      <c r="I284" s="25" t="s">
        <v>34</v>
      </c>
      <c r="J284" s="24" t="s">
        <v>34</v>
      </c>
      <c r="K284" s="25" t="s">
        <v>681</v>
      </c>
      <c r="L284" s="20" t="s">
        <v>38</v>
      </c>
      <c r="M284" s="49"/>
    </row>
    <row r="285" spans="1:13" ht="13.5" hidden="1" customHeight="1">
      <c r="A285" s="14">
        <f t="shared" si="3"/>
        <v>278</v>
      </c>
      <c r="B285" s="15" t="s">
        <v>692</v>
      </c>
      <c r="C285" s="15"/>
      <c r="D285" s="2" t="s">
        <v>692</v>
      </c>
      <c r="E285" s="16">
        <v>1</v>
      </c>
      <c r="F285" s="17">
        <v>45336</v>
      </c>
      <c r="G285" s="18" t="s">
        <v>41</v>
      </c>
      <c r="H285" s="18" t="s">
        <v>36</v>
      </c>
      <c r="I285" s="19" t="s">
        <v>34</v>
      </c>
      <c r="J285" s="18" t="s">
        <v>234</v>
      </c>
      <c r="K285" s="19" t="s">
        <v>681</v>
      </c>
      <c r="L285" s="14" t="s">
        <v>38</v>
      </c>
      <c r="M285" s="49"/>
    </row>
    <row r="286" spans="1:13" ht="13.5" hidden="1" customHeight="1">
      <c r="A286" s="14">
        <f t="shared" si="3"/>
        <v>279</v>
      </c>
      <c r="B286" s="15" t="s">
        <v>693</v>
      </c>
      <c r="C286" s="15"/>
      <c r="D286" s="2" t="s">
        <v>694</v>
      </c>
      <c r="E286" s="16">
        <v>1</v>
      </c>
      <c r="F286" s="17">
        <v>45336</v>
      </c>
      <c r="G286" s="18" t="s">
        <v>41</v>
      </c>
      <c r="H286" s="18" t="s">
        <v>36</v>
      </c>
      <c r="I286" s="19" t="s">
        <v>34</v>
      </c>
      <c r="J286" s="18" t="s">
        <v>234</v>
      </c>
      <c r="K286" s="19" t="s">
        <v>681</v>
      </c>
      <c r="L286" s="14" t="s">
        <v>38</v>
      </c>
      <c r="M286" s="49"/>
    </row>
    <row r="287" spans="1:13" ht="13.5" hidden="1" customHeight="1">
      <c r="A287" s="14">
        <f t="shared" si="3"/>
        <v>280</v>
      </c>
      <c r="B287" s="15" t="s">
        <v>695</v>
      </c>
      <c r="C287" s="15"/>
      <c r="D287" s="15" t="s">
        <v>696</v>
      </c>
      <c r="E287" s="16">
        <v>1</v>
      </c>
      <c r="F287" s="17">
        <v>45336</v>
      </c>
      <c r="G287" s="18" t="s">
        <v>41</v>
      </c>
      <c r="H287" s="18" t="s">
        <v>36</v>
      </c>
      <c r="I287" s="19" t="s">
        <v>34</v>
      </c>
      <c r="J287" s="18" t="s">
        <v>234</v>
      </c>
      <c r="K287" s="19" t="s">
        <v>681</v>
      </c>
      <c r="L287" s="14" t="s">
        <v>38</v>
      </c>
      <c r="M287" s="49"/>
    </row>
    <row r="288" spans="1:13" ht="13.5" hidden="1" customHeight="1">
      <c r="A288" s="14">
        <f t="shared" si="3"/>
        <v>281</v>
      </c>
      <c r="B288" s="15" t="s">
        <v>697</v>
      </c>
      <c r="C288" s="15"/>
      <c r="D288" s="15" t="s">
        <v>697</v>
      </c>
      <c r="E288" s="16">
        <v>0</v>
      </c>
      <c r="F288" s="17">
        <v>45336</v>
      </c>
      <c r="G288" s="18" t="s">
        <v>41</v>
      </c>
      <c r="H288" s="18" t="s">
        <v>36</v>
      </c>
      <c r="I288" s="19">
        <v>2</v>
      </c>
      <c r="J288" s="18" t="s">
        <v>234</v>
      </c>
      <c r="K288" s="19" t="s">
        <v>681</v>
      </c>
      <c r="L288" s="14" t="s">
        <v>38</v>
      </c>
      <c r="M288" s="49"/>
    </row>
    <row r="289" spans="1:13" ht="13.5" hidden="1" customHeight="1">
      <c r="A289" s="14">
        <f t="shared" si="3"/>
        <v>282</v>
      </c>
      <c r="B289" s="15" t="s">
        <v>698</v>
      </c>
      <c r="C289" s="15"/>
      <c r="D289" s="2" t="s">
        <v>699</v>
      </c>
      <c r="E289" s="16" t="s">
        <v>34</v>
      </c>
      <c r="F289" s="17">
        <v>45336</v>
      </c>
      <c r="G289" s="18" t="s">
        <v>10</v>
      </c>
      <c r="H289" s="18" t="s">
        <v>36</v>
      </c>
      <c r="I289" s="19">
        <v>24</v>
      </c>
      <c r="J289" s="18" t="s">
        <v>234</v>
      </c>
      <c r="K289" s="19" t="s">
        <v>681</v>
      </c>
      <c r="L289" s="14" t="s">
        <v>38</v>
      </c>
      <c r="M289" s="49"/>
    </row>
    <row r="290" spans="1:13" ht="13.5" hidden="1" customHeight="1">
      <c r="A290" s="14">
        <f t="shared" si="3"/>
        <v>283</v>
      </c>
      <c r="B290" s="15" t="s">
        <v>700</v>
      </c>
      <c r="C290" s="15"/>
      <c r="D290" s="2" t="s">
        <v>701</v>
      </c>
      <c r="E290" s="16">
        <v>2</v>
      </c>
      <c r="F290" s="17">
        <v>45336</v>
      </c>
      <c r="G290" s="18" t="s">
        <v>152</v>
      </c>
      <c r="H290" s="18" t="s">
        <v>36</v>
      </c>
      <c r="I290" s="19">
        <v>16</v>
      </c>
      <c r="J290" s="18" t="s">
        <v>234</v>
      </c>
      <c r="K290" s="19" t="s">
        <v>681</v>
      </c>
      <c r="L290" s="14" t="s">
        <v>38</v>
      </c>
      <c r="M290" s="49"/>
    </row>
    <row r="291" spans="1:13" ht="13.5" hidden="1" customHeight="1">
      <c r="A291" s="14">
        <f t="shared" si="3"/>
        <v>284</v>
      </c>
      <c r="B291" s="15" t="s">
        <v>702</v>
      </c>
      <c r="C291" s="15"/>
      <c r="D291" s="2" t="s">
        <v>703</v>
      </c>
      <c r="E291" s="16">
        <v>3</v>
      </c>
      <c r="F291" s="17">
        <v>45336</v>
      </c>
      <c r="G291" s="18" t="s">
        <v>152</v>
      </c>
      <c r="H291" s="18" t="s">
        <v>36</v>
      </c>
      <c r="I291" s="19">
        <v>17</v>
      </c>
      <c r="J291" s="18" t="s">
        <v>234</v>
      </c>
      <c r="K291" s="19" t="s">
        <v>681</v>
      </c>
      <c r="L291" s="14" t="s">
        <v>38</v>
      </c>
      <c r="M291" s="49"/>
    </row>
    <row r="292" spans="1:13" ht="13.5" hidden="1" customHeight="1">
      <c r="A292" s="20">
        <f t="shared" si="3"/>
        <v>285</v>
      </c>
      <c r="B292" s="21" t="s">
        <v>704</v>
      </c>
      <c r="C292" s="21"/>
      <c r="D292" s="1" t="s">
        <v>34</v>
      </c>
      <c r="E292" s="22" t="s">
        <v>34</v>
      </c>
      <c r="F292" s="23">
        <v>45336</v>
      </c>
      <c r="G292" s="24" t="s">
        <v>633</v>
      </c>
      <c r="H292" s="24" t="s">
        <v>634</v>
      </c>
      <c r="I292" s="25" t="s">
        <v>34</v>
      </c>
      <c r="J292" s="24" t="s">
        <v>34</v>
      </c>
      <c r="K292" s="25" t="s">
        <v>705</v>
      </c>
      <c r="L292" s="20" t="s">
        <v>38</v>
      </c>
      <c r="M292" s="49"/>
    </row>
    <row r="293" spans="1:13" ht="13.5" hidden="1" customHeight="1">
      <c r="A293" s="20">
        <f t="shared" si="3"/>
        <v>286</v>
      </c>
      <c r="B293" s="21" t="s">
        <v>706</v>
      </c>
      <c r="C293" s="21"/>
      <c r="D293" s="1" t="s">
        <v>34</v>
      </c>
      <c r="E293" s="22" t="s">
        <v>34</v>
      </c>
      <c r="F293" s="23">
        <v>45336</v>
      </c>
      <c r="G293" s="24" t="s">
        <v>633</v>
      </c>
      <c r="H293" s="24" t="s">
        <v>634</v>
      </c>
      <c r="I293" s="25" t="s">
        <v>34</v>
      </c>
      <c r="J293" s="24" t="s">
        <v>34</v>
      </c>
      <c r="K293" s="25" t="s">
        <v>705</v>
      </c>
      <c r="L293" s="20" t="s">
        <v>38</v>
      </c>
      <c r="M293" s="49"/>
    </row>
    <row r="294" spans="1:13" ht="13.5" hidden="1" customHeight="1">
      <c r="A294" s="20">
        <f t="shared" si="3"/>
        <v>287</v>
      </c>
      <c r="B294" s="21" t="s">
        <v>707</v>
      </c>
      <c r="C294" s="21"/>
      <c r="D294" s="1" t="s">
        <v>34</v>
      </c>
      <c r="E294" s="22" t="s">
        <v>34</v>
      </c>
      <c r="F294" s="23">
        <v>45336</v>
      </c>
      <c r="G294" s="24" t="s">
        <v>633</v>
      </c>
      <c r="H294" s="24" t="s">
        <v>634</v>
      </c>
      <c r="I294" s="25" t="s">
        <v>34</v>
      </c>
      <c r="J294" s="24" t="s">
        <v>34</v>
      </c>
      <c r="K294" s="25" t="s">
        <v>708</v>
      </c>
      <c r="L294" s="20" t="s">
        <v>38</v>
      </c>
      <c r="M294" s="49"/>
    </row>
    <row r="295" spans="1:13" ht="13.5" hidden="1" customHeight="1">
      <c r="A295" s="14">
        <f t="shared" si="3"/>
        <v>288</v>
      </c>
      <c r="B295" s="15" t="s">
        <v>709</v>
      </c>
      <c r="C295" s="15"/>
      <c r="D295" s="2" t="s">
        <v>710</v>
      </c>
      <c r="E295" s="16">
        <v>4</v>
      </c>
      <c r="F295" s="17">
        <v>45336</v>
      </c>
      <c r="G295" s="18" t="s">
        <v>686</v>
      </c>
      <c r="H295" s="18" t="s">
        <v>36</v>
      </c>
      <c r="I295" s="19">
        <v>28</v>
      </c>
      <c r="J295" s="18" t="s">
        <v>234</v>
      </c>
      <c r="K295" s="19" t="s">
        <v>708</v>
      </c>
      <c r="L295" s="14" t="s">
        <v>38</v>
      </c>
      <c r="M295" s="49"/>
    </row>
    <row r="296" spans="1:13" ht="13.5" hidden="1" customHeight="1">
      <c r="A296" s="14">
        <f t="shared" si="3"/>
        <v>289</v>
      </c>
      <c r="B296" s="15" t="s">
        <v>711</v>
      </c>
      <c r="C296" s="15"/>
      <c r="D296" s="2" t="s">
        <v>712</v>
      </c>
      <c r="E296" s="16">
        <v>3</v>
      </c>
      <c r="F296" s="17">
        <v>45336</v>
      </c>
      <c r="G296" s="18" t="s">
        <v>41</v>
      </c>
      <c r="H296" s="18" t="s">
        <v>36</v>
      </c>
      <c r="I296" s="19" t="s">
        <v>34</v>
      </c>
      <c r="J296" s="18" t="s">
        <v>234</v>
      </c>
      <c r="K296" s="19" t="s">
        <v>708</v>
      </c>
      <c r="L296" s="14" t="s">
        <v>38</v>
      </c>
      <c r="M296" s="49"/>
    </row>
    <row r="297" spans="1:13" ht="13.5" hidden="1" customHeight="1">
      <c r="A297" s="14">
        <f t="shared" si="3"/>
        <v>290</v>
      </c>
      <c r="B297" s="15" t="s">
        <v>713</v>
      </c>
      <c r="C297" s="15"/>
      <c r="D297" s="2" t="s">
        <v>714</v>
      </c>
      <c r="E297" s="16">
        <v>2</v>
      </c>
      <c r="F297" s="17">
        <v>45336</v>
      </c>
      <c r="G297" s="18" t="s">
        <v>686</v>
      </c>
      <c r="H297" s="18" t="s">
        <v>36</v>
      </c>
      <c r="I297" s="19">
        <v>15</v>
      </c>
      <c r="J297" s="18" t="s">
        <v>234</v>
      </c>
      <c r="K297" s="19" t="s">
        <v>715</v>
      </c>
      <c r="L297" s="14" t="s">
        <v>38</v>
      </c>
      <c r="M297" s="49"/>
    </row>
    <row r="298" spans="1:13" ht="13.5" hidden="1" customHeight="1">
      <c r="A298" s="14">
        <f t="shared" si="3"/>
        <v>291</v>
      </c>
      <c r="B298" s="15" t="s">
        <v>716</v>
      </c>
      <c r="C298" s="15"/>
      <c r="D298" s="2" t="s">
        <v>717</v>
      </c>
      <c r="E298" s="16">
        <v>3</v>
      </c>
      <c r="F298" s="17">
        <v>45336</v>
      </c>
      <c r="G298" s="18" t="s">
        <v>41</v>
      </c>
      <c r="H298" s="18" t="s">
        <v>36</v>
      </c>
      <c r="I298" s="19" t="s">
        <v>34</v>
      </c>
      <c r="J298" s="18" t="s">
        <v>234</v>
      </c>
      <c r="K298" s="19" t="s">
        <v>715</v>
      </c>
      <c r="L298" s="14" t="s">
        <v>38</v>
      </c>
      <c r="M298" s="49"/>
    </row>
    <row r="299" spans="1:13" ht="13.5" hidden="1" customHeight="1">
      <c r="A299" s="26">
        <f t="shared" si="3"/>
        <v>292</v>
      </c>
      <c r="B299" s="27" t="s">
        <v>718</v>
      </c>
      <c r="C299" s="27"/>
      <c r="D299" s="28" t="s">
        <v>717</v>
      </c>
      <c r="E299" s="29">
        <v>3</v>
      </c>
      <c r="F299" s="30">
        <v>45336</v>
      </c>
      <c r="G299" s="31" t="s">
        <v>41</v>
      </c>
      <c r="H299" s="31" t="s">
        <v>36</v>
      </c>
      <c r="I299" s="32" t="s">
        <v>34</v>
      </c>
      <c r="J299" s="31" t="s">
        <v>234</v>
      </c>
      <c r="K299" s="32" t="s">
        <v>715</v>
      </c>
      <c r="L299" s="14" t="s">
        <v>38</v>
      </c>
      <c r="M299" s="49"/>
    </row>
    <row r="300" spans="1:13" ht="13.5" hidden="1" customHeight="1">
      <c r="A300" s="20">
        <f t="shared" si="3"/>
        <v>293</v>
      </c>
      <c r="B300" s="21" t="s">
        <v>719</v>
      </c>
      <c r="C300" s="21"/>
      <c r="D300" s="1" t="s">
        <v>34</v>
      </c>
      <c r="E300" s="22" t="s">
        <v>34</v>
      </c>
      <c r="F300" s="23">
        <v>45336</v>
      </c>
      <c r="G300" s="24" t="s">
        <v>633</v>
      </c>
      <c r="H300" s="24" t="s">
        <v>634</v>
      </c>
      <c r="I300" s="25" t="s">
        <v>34</v>
      </c>
      <c r="J300" s="24" t="s">
        <v>34</v>
      </c>
      <c r="K300" s="25" t="s">
        <v>715</v>
      </c>
      <c r="L300" s="20" t="s">
        <v>38</v>
      </c>
      <c r="M300" s="49"/>
    </row>
    <row r="301" spans="1:13" ht="13.5" hidden="1" customHeight="1">
      <c r="A301" s="14">
        <f t="shared" si="3"/>
        <v>294</v>
      </c>
      <c r="B301" s="15" t="s">
        <v>720</v>
      </c>
      <c r="C301" s="15"/>
      <c r="D301" s="2" t="s">
        <v>721</v>
      </c>
      <c r="E301" s="16" t="s">
        <v>34</v>
      </c>
      <c r="F301" s="17">
        <v>45336</v>
      </c>
      <c r="G301" s="18" t="s">
        <v>41</v>
      </c>
      <c r="H301" s="18" t="s">
        <v>36</v>
      </c>
      <c r="I301" s="19" t="s">
        <v>34</v>
      </c>
      <c r="J301" s="18" t="s">
        <v>234</v>
      </c>
      <c r="K301" s="19" t="s">
        <v>722</v>
      </c>
      <c r="L301" s="14" t="s">
        <v>38</v>
      </c>
      <c r="M301" s="49"/>
    </row>
    <row r="302" spans="1:13" ht="13.5" hidden="1" customHeight="1">
      <c r="A302" s="20">
        <f t="shared" si="3"/>
        <v>295</v>
      </c>
      <c r="B302" s="21" t="s">
        <v>723</v>
      </c>
      <c r="C302" s="21"/>
      <c r="D302" s="1" t="s">
        <v>34</v>
      </c>
      <c r="E302" s="22" t="s">
        <v>34</v>
      </c>
      <c r="F302" s="23">
        <v>45336</v>
      </c>
      <c r="G302" s="24" t="s">
        <v>633</v>
      </c>
      <c r="H302" s="24" t="s">
        <v>634</v>
      </c>
      <c r="I302" s="25" t="s">
        <v>34</v>
      </c>
      <c r="J302" s="24" t="s">
        <v>34</v>
      </c>
      <c r="K302" s="25" t="s">
        <v>722</v>
      </c>
      <c r="L302" s="20" t="s">
        <v>38</v>
      </c>
      <c r="M302" s="49"/>
    </row>
    <row r="303" spans="1:13" ht="13.5" hidden="1" customHeight="1">
      <c r="A303" s="14">
        <f t="shared" si="3"/>
        <v>296</v>
      </c>
      <c r="B303" s="15" t="s">
        <v>724</v>
      </c>
      <c r="C303" s="15"/>
      <c r="D303" s="2" t="s">
        <v>725</v>
      </c>
      <c r="E303" s="16">
        <v>3</v>
      </c>
      <c r="F303" s="17">
        <v>45336</v>
      </c>
      <c r="G303" s="18" t="s">
        <v>152</v>
      </c>
      <c r="H303" s="18" t="s">
        <v>36</v>
      </c>
      <c r="I303" s="19">
        <v>26</v>
      </c>
      <c r="J303" s="18" t="s">
        <v>234</v>
      </c>
      <c r="K303" s="19" t="s">
        <v>726</v>
      </c>
      <c r="L303" s="14" t="s">
        <v>38</v>
      </c>
      <c r="M303" s="49"/>
    </row>
    <row r="304" spans="1:13" ht="13.5" hidden="1" customHeight="1">
      <c r="A304" s="14">
        <f t="shared" si="3"/>
        <v>297</v>
      </c>
      <c r="B304" s="15" t="s">
        <v>727</v>
      </c>
      <c r="C304" s="15"/>
      <c r="D304" s="2" t="s">
        <v>728</v>
      </c>
      <c r="E304" s="16">
        <v>1</v>
      </c>
      <c r="F304" s="17">
        <v>45336</v>
      </c>
      <c r="G304" s="18" t="s">
        <v>686</v>
      </c>
      <c r="H304" s="18" t="s">
        <v>36</v>
      </c>
      <c r="I304" s="19">
        <v>13</v>
      </c>
      <c r="J304" s="18" t="s">
        <v>234</v>
      </c>
      <c r="K304" s="19" t="s">
        <v>726</v>
      </c>
      <c r="L304" s="14" t="s">
        <v>38</v>
      </c>
      <c r="M304" s="49"/>
    </row>
    <row r="305" spans="1:13" ht="13.5" hidden="1" customHeight="1">
      <c r="A305" s="20">
        <f t="shared" si="3"/>
        <v>298</v>
      </c>
      <c r="B305" s="21" t="s">
        <v>729</v>
      </c>
      <c r="C305" s="21"/>
      <c r="D305" s="1" t="s">
        <v>34</v>
      </c>
      <c r="E305" s="22" t="s">
        <v>34</v>
      </c>
      <c r="F305" s="23">
        <v>45336</v>
      </c>
      <c r="G305" s="24" t="s">
        <v>633</v>
      </c>
      <c r="H305" s="24" t="s">
        <v>634</v>
      </c>
      <c r="I305" s="25" t="s">
        <v>34</v>
      </c>
      <c r="J305" s="24" t="s">
        <v>34</v>
      </c>
      <c r="K305" s="25" t="s">
        <v>726</v>
      </c>
      <c r="L305" s="20" t="s">
        <v>38</v>
      </c>
      <c r="M305" s="49"/>
    </row>
    <row r="306" spans="1:13" ht="13.5" hidden="1" customHeight="1">
      <c r="A306" s="14">
        <f t="shared" si="3"/>
        <v>299</v>
      </c>
      <c r="B306" s="15" t="s">
        <v>730</v>
      </c>
      <c r="C306" s="15"/>
      <c r="D306" s="2" t="s">
        <v>730</v>
      </c>
      <c r="E306" s="16">
        <v>1</v>
      </c>
      <c r="F306" s="17">
        <v>45336</v>
      </c>
      <c r="G306" s="18" t="s">
        <v>41</v>
      </c>
      <c r="H306" s="18" t="s">
        <v>36</v>
      </c>
      <c r="I306" s="19" t="s">
        <v>34</v>
      </c>
      <c r="J306" s="18" t="s">
        <v>234</v>
      </c>
      <c r="K306" s="19" t="s">
        <v>726</v>
      </c>
      <c r="L306" s="14" t="s">
        <v>38</v>
      </c>
      <c r="M306" s="49"/>
    </row>
    <row r="307" spans="1:13" ht="13.5" hidden="1" customHeight="1">
      <c r="A307" s="14">
        <f t="shared" si="3"/>
        <v>300</v>
      </c>
      <c r="B307" s="15" t="s">
        <v>731</v>
      </c>
      <c r="C307" s="15"/>
      <c r="D307" s="15" t="s">
        <v>731</v>
      </c>
      <c r="E307" s="16">
        <v>1</v>
      </c>
      <c r="F307" s="17">
        <v>45336</v>
      </c>
      <c r="G307" s="18" t="s">
        <v>41</v>
      </c>
      <c r="H307" s="18" t="s">
        <v>36</v>
      </c>
      <c r="I307" s="19" t="s">
        <v>34</v>
      </c>
      <c r="J307" s="18" t="s">
        <v>234</v>
      </c>
      <c r="K307" s="19" t="s">
        <v>726</v>
      </c>
      <c r="L307" s="14" t="s">
        <v>38</v>
      </c>
      <c r="M307" s="49"/>
    </row>
    <row r="308" spans="1:13" ht="13.5" hidden="1" customHeight="1">
      <c r="A308" s="20">
        <f t="shared" si="3"/>
        <v>301</v>
      </c>
      <c r="B308" s="21" t="s">
        <v>732</v>
      </c>
      <c r="C308" s="21"/>
      <c r="D308" s="1" t="s">
        <v>34</v>
      </c>
      <c r="E308" s="22" t="s">
        <v>34</v>
      </c>
      <c r="F308" s="23">
        <v>45336</v>
      </c>
      <c r="G308" s="24" t="s">
        <v>633</v>
      </c>
      <c r="H308" s="24" t="s">
        <v>634</v>
      </c>
      <c r="I308" s="25" t="s">
        <v>34</v>
      </c>
      <c r="J308" s="24" t="s">
        <v>34</v>
      </c>
      <c r="K308" s="25" t="s">
        <v>733</v>
      </c>
      <c r="L308" s="20" t="s">
        <v>38</v>
      </c>
      <c r="M308" s="49"/>
    </row>
    <row r="309" spans="1:13" ht="13.5" hidden="1" customHeight="1">
      <c r="A309" s="20">
        <f t="shared" si="3"/>
        <v>302</v>
      </c>
      <c r="B309" s="21" t="s">
        <v>734</v>
      </c>
      <c r="C309" s="21"/>
      <c r="D309" s="1" t="s">
        <v>34</v>
      </c>
      <c r="E309" s="22" t="s">
        <v>34</v>
      </c>
      <c r="F309" s="23">
        <v>45336</v>
      </c>
      <c r="G309" s="24" t="s">
        <v>633</v>
      </c>
      <c r="H309" s="24" t="s">
        <v>634</v>
      </c>
      <c r="I309" s="25" t="s">
        <v>34</v>
      </c>
      <c r="J309" s="24" t="s">
        <v>34</v>
      </c>
      <c r="K309" s="25" t="s">
        <v>735</v>
      </c>
      <c r="L309" s="20" t="s">
        <v>38</v>
      </c>
      <c r="M309" s="49"/>
    </row>
    <row r="310" spans="1:13" ht="13.5" hidden="1" customHeight="1">
      <c r="A310" s="14">
        <f t="shared" si="3"/>
        <v>303</v>
      </c>
      <c r="B310" s="15" t="s">
        <v>736</v>
      </c>
      <c r="C310" s="15"/>
      <c r="D310" s="2" t="s">
        <v>736</v>
      </c>
      <c r="E310" s="16" t="s">
        <v>34</v>
      </c>
      <c r="F310" s="17">
        <v>45336</v>
      </c>
      <c r="G310" s="18" t="s">
        <v>41</v>
      </c>
      <c r="H310" s="18" t="s">
        <v>36</v>
      </c>
      <c r="I310" s="19" t="s">
        <v>34</v>
      </c>
      <c r="J310" s="18" t="s">
        <v>234</v>
      </c>
      <c r="K310" s="19" t="s">
        <v>735</v>
      </c>
      <c r="L310" s="14" t="s">
        <v>38</v>
      </c>
      <c r="M310" s="49"/>
    </row>
    <row r="311" spans="1:13" ht="13.5" hidden="1" customHeight="1">
      <c r="A311" s="14">
        <f t="shared" si="3"/>
        <v>304</v>
      </c>
      <c r="B311" s="15" t="s">
        <v>737</v>
      </c>
      <c r="C311" s="15"/>
      <c r="D311" s="15" t="s">
        <v>737</v>
      </c>
      <c r="E311" s="16" t="s">
        <v>34</v>
      </c>
      <c r="F311" s="17">
        <v>45336</v>
      </c>
      <c r="G311" s="18" t="s">
        <v>41</v>
      </c>
      <c r="H311" s="18" t="s">
        <v>36</v>
      </c>
      <c r="I311" s="19" t="s">
        <v>34</v>
      </c>
      <c r="J311" s="18" t="s">
        <v>234</v>
      </c>
      <c r="K311" s="19" t="s">
        <v>735</v>
      </c>
      <c r="L311" s="14" t="s">
        <v>38</v>
      </c>
      <c r="M311" s="49"/>
    </row>
    <row r="312" spans="1:13" ht="13.5" hidden="1" customHeight="1">
      <c r="A312" s="14">
        <f t="shared" si="3"/>
        <v>305</v>
      </c>
      <c r="B312" s="15" t="s">
        <v>738</v>
      </c>
      <c r="C312" s="15"/>
      <c r="D312" s="15" t="s">
        <v>738</v>
      </c>
      <c r="E312" s="16" t="s">
        <v>34</v>
      </c>
      <c r="F312" s="17">
        <v>45336</v>
      </c>
      <c r="G312" s="18" t="s">
        <v>41</v>
      </c>
      <c r="H312" s="18" t="s">
        <v>36</v>
      </c>
      <c r="I312" s="19" t="s">
        <v>34</v>
      </c>
      <c r="J312" s="18" t="s">
        <v>234</v>
      </c>
      <c r="K312" s="19" t="s">
        <v>735</v>
      </c>
      <c r="L312" s="14" t="s">
        <v>38</v>
      </c>
      <c r="M312" s="49"/>
    </row>
    <row r="313" spans="1:13" ht="13.5" hidden="1" customHeight="1">
      <c r="A313" s="14">
        <f t="shared" si="3"/>
        <v>306</v>
      </c>
      <c r="B313" s="15" t="s">
        <v>739</v>
      </c>
      <c r="C313" s="15"/>
      <c r="D313" s="15" t="s">
        <v>739</v>
      </c>
      <c r="E313" s="16" t="s">
        <v>34</v>
      </c>
      <c r="F313" s="17">
        <v>45336</v>
      </c>
      <c r="G313" s="18" t="s">
        <v>41</v>
      </c>
      <c r="H313" s="18" t="s">
        <v>36</v>
      </c>
      <c r="I313" s="19" t="s">
        <v>34</v>
      </c>
      <c r="J313" s="18" t="s">
        <v>234</v>
      </c>
      <c r="K313" s="19" t="s">
        <v>735</v>
      </c>
      <c r="L313" s="14" t="s">
        <v>38</v>
      </c>
      <c r="M313" s="49"/>
    </row>
    <row r="314" spans="1:13" ht="13.5" hidden="1" customHeight="1">
      <c r="A314" s="14">
        <f t="shared" si="3"/>
        <v>307</v>
      </c>
      <c r="B314" s="15" t="s">
        <v>740</v>
      </c>
      <c r="C314" s="15"/>
      <c r="D314" s="15" t="s">
        <v>740</v>
      </c>
      <c r="E314" s="16" t="s">
        <v>34</v>
      </c>
      <c r="F314" s="17">
        <v>45336</v>
      </c>
      <c r="G314" s="18" t="s">
        <v>41</v>
      </c>
      <c r="H314" s="18" t="s">
        <v>36</v>
      </c>
      <c r="I314" s="19" t="s">
        <v>34</v>
      </c>
      <c r="J314" s="18" t="s">
        <v>234</v>
      </c>
      <c r="K314" s="19" t="s">
        <v>735</v>
      </c>
      <c r="L314" s="14" t="s">
        <v>38</v>
      </c>
      <c r="M314" s="49"/>
    </row>
    <row r="315" spans="1:13" ht="13.5" hidden="1" customHeight="1">
      <c r="A315" s="14">
        <f t="shared" si="3"/>
        <v>308</v>
      </c>
      <c r="B315" s="15" t="s">
        <v>741</v>
      </c>
      <c r="C315" s="15"/>
      <c r="D315" s="15" t="s">
        <v>741</v>
      </c>
      <c r="E315" s="16" t="s">
        <v>34</v>
      </c>
      <c r="F315" s="17">
        <v>45336</v>
      </c>
      <c r="G315" s="18" t="s">
        <v>41</v>
      </c>
      <c r="H315" s="18" t="s">
        <v>36</v>
      </c>
      <c r="I315" s="19" t="s">
        <v>34</v>
      </c>
      <c r="J315" s="18" t="s">
        <v>234</v>
      </c>
      <c r="K315" s="19" t="s">
        <v>735</v>
      </c>
      <c r="L315" s="14" t="s">
        <v>38</v>
      </c>
      <c r="M315" s="49"/>
    </row>
    <row r="316" spans="1:13" ht="13.5" hidden="1" customHeight="1">
      <c r="A316" s="14">
        <f t="shared" si="3"/>
        <v>309</v>
      </c>
      <c r="B316" s="15" t="s">
        <v>742</v>
      </c>
      <c r="C316" s="15"/>
      <c r="D316" s="15" t="s">
        <v>742</v>
      </c>
      <c r="E316" s="16" t="s">
        <v>34</v>
      </c>
      <c r="F316" s="17">
        <v>45336</v>
      </c>
      <c r="G316" s="18" t="s">
        <v>41</v>
      </c>
      <c r="H316" s="18" t="s">
        <v>36</v>
      </c>
      <c r="I316" s="19" t="s">
        <v>34</v>
      </c>
      <c r="J316" s="18" t="s">
        <v>234</v>
      </c>
      <c r="K316" s="19" t="s">
        <v>735</v>
      </c>
      <c r="L316" s="14" t="s">
        <v>38</v>
      </c>
      <c r="M316" s="49"/>
    </row>
    <row r="317" spans="1:13" ht="13.5" hidden="1" customHeight="1">
      <c r="A317" s="14">
        <f t="shared" si="3"/>
        <v>310</v>
      </c>
      <c r="B317" s="15" t="s">
        <v>743</v>
      </c>
      <c r="C317" s="15"/>
      <c r="D317" s="15" t="s">
        <v>743</v>
      </c>
      <c r="E317" s="16">
        <v>0</v>
      </c>
      <c r="F317" s="17">
        <v>45336</v>
      </c>
      <c r="G317" s="18" t="s">
        <v>152</v>
      </c>
      <c r="H317" s="18" t="s">
        <v>36</v>
      </c>
      <c r="I317" s="19">
        <v>24</v>
      </c>
      <c r="J317" s="18" t="s">
        <v>234</v>
      </c>
      <c r="K317" s="19" t="s">
        <v>735</v>
      </c>
      <c r="L317" s="14" t="s">
        <v>38</v>
      </c>
      <c r="M317" s="49"/>
    </row>
    <row r="318" spans="1:13" ht="13.5" hidden="1" customHeight="1">
      <c r="A318" s="20">
        <f t="shared" si="3"/>
        <v>311</v>
      </c>
      <c r="B318" s="21" t="s">
        <v>744</v>
      </c>
      <c r="C318" s="21"/>
      <c r="D318" s="1" t="s">
        <v>34</v>
      </c>
      <c r="E318" s="22" t="s">
        <v>34</v>
      </c>
      <c r="F318" s="23">
        <v>45336</v>
      </c>
      <c r="G318" s="24" t="s">
        <v>633</v>
      </c>
      <c r="H318" s="24" t="s">
        <v>634</v>
      </c>
      <c r="I318" s="25" t="s">
        <v>34</v>
      </c>
      <c r="J318" s="24" t="s">
        <v>34</v>
      </c>
      <c r="K318" s="25" t="s">
        <v>735</v>
      </c>
      <c r="L318" s="20" t="s">
        <v>38</v>
      </c>
      <c r="M318" s="49"/>
    </row>
    <row r="319" spans="1:13" ht="13.5" hidden="1" customHeight="1">
      <c r="A319" s="20">
        <f t="shared" si="3"/>
        <v>312</v>
      </c>
      <c r="B319" s="21" t="s">
        <v>745</v>
      </c>
      <c r="C319" s="21"/>
      <c r="D319" s="1" t="s">
        <v>34</v>
      </c>
      <c r="E319" s="22" t="s">
        <v>34</v>
      </c>
      <c r="F319" s="23">
        <v>45336</v>
      </c>
      <c r="G319" s="24" t="s">
        <v>633</v>
      </c>
      <c r="H319" s="24" t="s">
        <v>634</v>
      </c>
      <c r="I319" s="25" t="s">
        <v>34</v>
      </c>
      <c r="J319" s="24" t="s">
        <v>34</v>
      </c>
      <c r="K319" s="25" t="s">
        <v>735</v>
      </c>
      <c r="L319" s="20" t="s">
        <v>38</v>
      </c>
      <c r="M319" s="49"/>
    </row>
    <row r="320" spans="1:13" ht="13.5" hidden="1" customHeight="1">
      <c r="A320" s="14">
        <f t="shared" si="3"/>
        <v>313</v>
      </c>
      <c r="B320" s="15" t="s">
        <v>746</v>
      </c>
      <c r="C320" s="15"/>
      <c r="D320" s="15" t="s">
        <v>746</v>
      </c>
      <c r="E320" s="16" t="s">
        <v>34</v>
      </c>
      <c r="F320" s="17">
        <v>45336</v>
      </c>
      <c r="G320" s="18" t="s">
        <v>41</v>
      </c>
      <c r="H320" s="18" t="s">
        <v>36</v>
      </c>
      <c r="I320" s="19" t="s">
        <v>34</v>
      </c>
      <c r="J320" s="18" t="s">
        <v>234</v>
      </c>
      <c r="K320" s="19" t="s">
        <v>735</v>
      </c>
      <c r="L320" s="14" t="s">
        <v>38</v>
      </c>
      <c r="M320" s="49"/>
    </row>
    <row r="321" spans="1:13" ht="13.5" hidden="1" customHeight="1">
      <c r="A321" s="14">
        <f t="shared" si="3"/>
        <v>314</v>
      </c>
      <c r="B321" s="15" t="s">
        <v>747</v>
      </c>
      <c r="C321" s="15"/>
      <c r="D321" s="15" t="s">
        <v>747</v>
      </c>
      <c r="E321" s="16" t="s">
        <v>34</v>
      </c>
      <c r="F321" s="17">
        <v>45336</v>
      </c>
      <c r="G321" s="18" t="s">
        <v>41</v>
      </c>
      <c r="H321" s="18" t="s">
        <v>36</v>
      </c>
      <c r="I321" s="19" t="s">
        <v>34</v>
      </c>
      <c r="J321" s="18" t="s">
        <v>234</v>
      </c>
      <c r="K321" s="19" t="s">
        <v>735</v>
      </c>
      <c r="L321" s="14" t="s">
        <v>38</v>
      </c>
      <c r="M321" s="49"/>
    </row>
    <row r="322" spans="1:13" ht="13.5" hidden="1" customHeight="1">
      <c r="A322" s="14">
        <f t="shared" si="3"/>
        <v>315</v>
      </c>
      <c r="B322" s="15" t="s">
        <v>748</v>
      </c>
      <c r="C322" s="15"/>
      <c r="D322" s="2" t="s">
        <v>748</v>
      </c>
      <c r="E322" s="16">
        <v>1</v>
      </c>
      <c r="F322" s="17">
        <v>45336</v>
      </c>
      <c r="G322" s="18" t="s">
        <v>619</v>
      </c>
      <c r="H322" s="18" t="s">
        <v>36</v>
      </c>
      <c r="I322" s="19">
        <v>35</v>
      </c>
      <c r="J322" s="18" t="s">
        <v>234</v>
      </c>
      <c r="K322" s="19" t="s">
        <v>735</v>
      </c>
      <c r="L322" s="14" t="s">
        <v>38</v>
      </c>
      <c r="M322" s="49"/>
    </row>
    <row r="323" spans="1:13" ht="13.5" hidden="1" customHeight="1">
      <c r="A323" s="20">
        <f t="shared" si="3"/>
        <v>316</v>
      </c>
      <c r="B323" s="21" t="s">
        <v>749</v>
      </c>
      <c r="C323" s="21"/>
      <c r="D323" s="1" t="s">
        <v>34</v>
      </c>
      <c r="E323" s="22" t="s">
        <v>34</v>
      </c>
      <c r="F323" s="23">
        <v>45336</v>
      </c>
      <c r="G323" s="24" t="s">
        <v>633</v>
      </c>
      <c r="H323" s="24" t="s">
        <v>634</v>
      </c>
      <c r="I323" s="25" t="s">
        <v>34</v>
      </c>
      <c r="J323" s="24" t="s">
        <v>34</v>
      </c>
      <c r="K323" s="25" t="s">
        <v>735</v>
      </c>
      <c r="L323" s="20" t="s">
        <v>38</v>
      </c>
      <c r="M323" s="49"/>
    </row>
    <row r="324" spans="1:13" ht="13.5" hidden="1" customHeight="1">
      <c r="A324" s="20">
        <f t="shared" ref="A324:A387" si="4">ROW()-7</f>
        <v>317</v>
      </c>
      <c r="B324" s="21" t="s">
        <v>750</v>
      </c>
      <c r="C324" s="21"/>
      <c r="D324" s="1" t="s">
        <v>34</v>
      </c>
      <c r="E324" s="22"/>
      <c r="F324" s="23">
        <v>45336</v>
      </c>
      <c r="G324" s="24" t="s">
        <v>633</v>
      </c>
      <c r="H324" s="24" t="s">
        <v>634</v>
      </c>
      <c r="I324" s="25" t="s">
        <v>34</v>
      </c>
      <c r="J324" s="24" t="s">
        <v>34</v>
      </c>
      <c r="K324" s="25" t="s">
        <v>751</v>
      </c>
      <c r="L324" s="20" t="s">
        <v>38</v>
      </c>
      <c r="M324" s="49"/>
    </row>
    <row r="325" spans="1:13" ht="13.5" hidden="1" customHeight="1">
      <c r="A325" s="20">
        <f t="shared" si="4"/>
        <v>318</v>
      </c>
      <c r="B325" s="21" t="s">
        <v>752</v>
      </c>
      <c r="C325" s="21"/>
      <c r="D325" s="1" t="s">
        <v>34</v>
      </c>
      <c r="E325" s="22"/>
      <c r="F325" s="23">
        <v>45336</v>
      </c>
      <c r="G325" s="24" t="s">
        <v>633</v>
      </c>
      <c r="H325" s="24" t="s">
        <v>634</v>
      </c>
      <c r="I325" s="25" t="s">
        <v>34</v>
      </c>
      <c r="J325" s="24" t="s">
        <v>34</v>
      </c>
      <c r="K325" s="25" t="s">
        <v>751</v>
      </c>
      <c r="L325" s="20" t="s">
        <v>38</v>
      </c>
      <c r="M325" s="49"/>
    </row>
    <row r="326" spans="1:13" ht="13.5" hidden="1" customHeight="1">
      <c r="A326" s="20">
        <f t="shared" si="4"/>
        <v>319</v>
      </c>
      <c r="B326" s="21" t="s">
        <v>753</v>
      </c>
      <c r="C326" s="21"/>
      <c r="D326" s="1" t="s">
        <v>34</v>
      </c>
      <c r="E326" s="22"/>
      <c r="F326" s="23">
        <v>45336</v>
      </c>
      <c r="G326" s="24" t="s">
        <v>633</v>
      </c>
      <c r="H326" s="24" t="s">
        <v>634</v>
      </c>
      <c r="I326" s="25" t="s">
        <v>34</v>
      </c>
      <c r="J326" s="24" t="s">
        <v>34</v>
      </c>
      <c r="K326" s="25" t="s">
        <v>751</v>
      </c>
      <c r="L326" s="20" t="s">
        <v>38</v>
      </c>
      <c r="M326" s="49"/>
    </row>
    <row r="327" spans="1:13" ht="13.5" hidden="1" customHeight="1">
      <c r="A327" s="20">
        <f t="shared" si="4"/>
        <v>320</v>
      </c>
      <c r="B327" s="21" t="s">
        <v>754</v>
      </c>
      <c r="C327" s="21"/>
      <c r="D327" s="1" t="s">
        <v>34</v>
      </c>
      <c r="E327" s="22"/>
      <c r="F327" s="23">
        <v>45336</v>
      </c>
      <c r="G327" s="24" t="s">
        <v>633</v>
      </c>
      <c r="H327" s="24" t="s">
        <v>634</v>
      </c>
      <c r="I327" s="25" t="s">
        <v>34</v>
      </c>
      <c r="J327" s="24" t="s">
        <v>34</v>
      </c>
      <c r="K327" s="25" t="s">
        <v>751</v>
      </c>
      <c r="L327" s="20" t="s">
        <v>38</v>
      </c>
      <c r="M327" s="49"/>
    </row>
    <row r="328" spans="1:13" ht="13.5" hidden="1" customHeight="1">
      <c r="A328" s="20">
        <f t="shared" si="4"/>
        <v>321</v>
      </c>
      <c r="B328" s="21" t="s">
        <v>755</v>
      </c>
      <c r="C328" s="21"/>
      <c r="D328" s="1" t="s">
        <v>34</v>
      </c>
      <c r="E328" s="22"/>
      <c r="F328" s="23">
        <v>45336</v>
      </c>
      <c r="G328" s="24" t="s">
        <v>633</v>
      </c>
      <c r="H328" s="24" t="s">
        <v>634</v>
      </c>
      <c r="I328" s="25" t="s">
        <v>34</v>
      </c>
      <c r="J328" s="24" t="s">
        <v>34</v>
      </c>
      <c r="K328" s="25" t="s">
        <v>751</v>
      </c>
      <c r="L328" s="20" t="s">
        <v>38</v>
      </c>
      <c r="M328" s="49"/>
    </row>
    <row r="329" spans="1:13" ht="13.5" hidden="1" customHeight="1">
      <c r="A329" s="20">
        <f t="shared" si="4"/>
        <v>322</v>
      </c>
      <c r="B329" s="21" t="s">
        <v>756</v>
      </c>
      <c r="C329" s="21"/>
      <c r="D329" s="1" t="s">
        <v>34</v>
      </c>
      <c r="E329" s="22"/>
      <c r="F329" s="23">
        <v>45336</v>
      </c>
      <c r="G329" s="24" t="s">
        <v>633</v>
      </c>
      <c r="H329" s="24" t="s">
        <v>634</v>
      </c>
      <c r="I329" s="25" t="s">
        <v>34</v>
      </c>
      <c r="J329" s="24" t="s">
        <v>34</v>
      </c>
      <c r="K329" s="25" t="s">
        <v>751</v>
      </c>
      <c r="L329" s="20" t="s">
        <v>38</v>
      </c>
      <c r="M329" s="49"/>
    </row>
    <row r="330" spans="1:13" ht="13.5" hidden="1" customHeight="1">
      <c r="A330" s="20">
        <f t="shared" si="4"/>
        <v>323</v>
      </c>
      <c r="B330" s="21" t="s">
        <v>757</v>
      </c>
      <c r="C330" s="21"/>
      <c r="D330" s="1" t="s">
        <v>34</v>
      </c>
      <c r="E330" s="22"/>
      <c r="F330" s="23">
        <v>45336</v>
      </c>
      <c r="G330" s="24" t="s">
        <v>633</v>
      </c>
      <c r="H330" s="24" t="s">
        <v>634</v>
      </c>
      <c r="I330" s="25" t="s">
        <v>34</v>
      </c>
      <c r="J330" s="24" t="s">
        <v>34</v>
      </c>
      <c r="K330" s="25" t="s">
        <v>751</v>
      </c>
      <c r="L330" s="20" t="s">
        <v>38</v>
      </c>
      <c r="M330" s="49"/>
    </row>
    <row r="331" spans="1:13" ht="13.5" hidden="1" customHeight="1">
      <c r="A331" s="20">
        <f t="shared" si="4"/>
        <v>324</v>
      </c>
      <c r="B331" s="21" t="s">
        <v>758</v>
      </c>
      <c r="C331" s="21"/>
      <c r="D331" s="1" t="s">
        <v>34</v>
      </c>
      <c r="E331" s="22"/>
      <c r="F331" s="23">
        <v>45336</v>
      </c>
      <c r="G331" s="24" t="s">
        <v>633</v>
      </c>
      <c r="H331" s="24" t="s">
        <v>634</v>
      </c>
      <c r="I331" s="25" t="s">
        <v>34</v>
      </c>
      <c r="J331" s="24" t="s">
        <v>34</v>
      </c>
      <c r="K331" s="25" t="s">
        <v>751</v>
      </c>
      <c r="L331" s="20" t="s">
        <v>38</v>
      </c>
      <c r="M331" s="49"/>
    </row>
    <row r="332" spans="1:13" ht="13.5" hidden="1" customHeight="1">
      <c r="A332" s="20">
        <f t="shared" si="4"/>
        <v>325</v>
      </c>
      <c r="B332" s="21" t="s">
        <v>759</v>
      </c>
      <c r="C332" s="21"/>
      <c r="D332" s="1" t="s">
        <v>34</v>
      </c>
      <c r="E332" s="22"/>
      <c r="F332" s="23">
        <v>45336</v>
      </c>
      <c r="G332" s="24" t="s">
        <v>633</v>
      </c>
      <c r="H332" s="24" t="s">
        <v>634</v>
      </c>
      <c r="I332" s="25" t="s">
        <v>34</v>
      </c>
      <c r="J332" s="24" t="s">
        <v>34</v>
      </c>
      <c r="K332" s="25" t="s">
        <v>751</v>
      </c>
      <c r="L332" s="20" t="s">
        <v>38</v>
      </c>
      <c r="M332" s="49"/>
    </row>
    <row r="333" spans="1:13" ht="13.5" hidden="1" customHeight="1">
      <c r="A333" s="20">
        <f t="shared" si="4"/>
        <v>326</v>
      </c>
      <c r="B333" s="21" t="s">
        <v>760</v>
      </c>
      <c r="C333" s="21"/>
      <c r="D333" s="1" t="s">
        <v>34</v>
      </c>
      <c r="E333" s="22"/>
      <c r="F333" s="23">
        <v>45336</v>
      </c>
      <c r="G333" s="24" t="s">
        <v>633</v>
      </c>
      <c r="H333" s="24" t="s">
        <v>634</v>
      </c>
      <c r="I333" s="25" t="s">
        <v>34</v>
      </c>
      <c r="J333" s="24" t="s">
        <v>34</v>
      </c>
      <c r="K333" s="25" t="s">
        <v>751</v>
      </c>
      <c r="L333" s="20" t="s">
        <v>38</v>
      </c>
      <c r="M333" s="49"/>
    </row>
    <row r="334" spans="1:13" ht="13.5" hidden="1" customHeight="1">
      <c r="A334" s="20">
        <f t="shared" si="4"/>
        <v>327</v>
      </c>
      <c r="B334" s="21" t="s">
        <v>761</v>
      </c>
      <c r="C334" s="21"/>
      <c r="D334" s="1" t="s">
        <v>34</v>
      </c>
      <c r="E334" s="22"/>
      <c r="F334" s="23">
        <v>45336</v>
      </c>
      <c r="G334" s="24" t="s">
        <v>633</v>
      </c>
      <c r="H334" s="24" t="s">
        <v>634</v>
      </c>
      <c r="I334" s="25" t="s">
        <v>34</v>
      </c>
      <c r="J334" s="24" t="s">
        <v>34</v>
      </c>
      <c r="K334" s="25" t="s">
        <v>751</v>
      </c>
      <c r="L334" s="20" t="s">
        <v>38</v>
      </c>
      <c r="M334" s="49"/>
    </row>
    <row r="335" spans="1:13" ht="13.5" hidden="1" customHeight="1">
      <c r="A335" s="20">
        <f t="shared" si="4"/>
        <v>328</v>
      </c>
      <c r="B335" s="21" t="s">
        <v>762</v>
      </c>
      <c r="C335" s="21"/>
      <c r="D335" s="1" t="s">
        <v>34</v>
      </c>
      <c r="E335" s="22"/>
      <c r="F335" s="23">
        <v>45336</v>
      </c>
      <c r="G335" s="24" t="s">
        <v>633</v>
      </c>
      <c r="H335" s="24" t="s">
        <v>634</v>
      </c>
      <c r="I335" s="25" t="s">
        <v>34</v>
      </c>
      <c r="J335" s="24" t="s">
        <v>34</v>
      </c>
      <c r="K335" s="25" t="s">
        <v>751</v>
      </c>
      <c r="L335" s="20" t="s">
        <v>38</v>
      </c>
      <c r="M335" s="49"/>
    </row>
    <row r="336" spans="1:13" ht="13.5" hidden="1" customHeight="1">
      <c r="A336" s="20">
        <f t="shared" si="4"/>
        <v>329</v>
      </c>
      <c r="B336" s="21" t="s">
        <v>763</v>
      </c>
      <c r="C336" s="21"/>
      <c r="D336" s="1" t="s">
        <v>34</v>
      </c>
      <c r="E336" s="22"/>
      <c r="F336" s="23">
        <v>45336</v>
      </c>
      <c r="G336" s="24" t="s">
        <v>633</v>
      </c>
      <c r="H336" s="24" t="s">
        <v>634</v>
      </c>
      <c r="I336" s="25" t="s">
        <v>34</v>
      </c>
      <c r="J336" s="24" t="s">
        <v>34</v>
      </c>
      <c r="K336" s="25" t="s">
        <v>751</v>
      </c>
      <c r="L336" s="20" t="s">
        <v>38</v>
      </c>
      <c r="M336" s="49"/>
    </row>
    <row r="337" spans="1:13" ht="13.5" hidden="1" customHeight="1">
      <c r="A337" s="20">
        <f t="shared" si="4"/>
        <v>330</v>
      </c>
      <c r="B337" s="21" t="s">
        <v>764</v>
      </c>
      <c r="C337" s="21"/>
      <c r="D337" s="1" t="s">
        <v>34</v>
      </c>
      <c r="E337" s="22"/>
      <c r="F337" s="23">
        <v>45336</v>
      </c>
      <c r="G337" s="24" t="s">
        <v>633</v>
      </c>
      <c r="H337" s="24" t="s">
        <v>634</v>
      </c>
      <c r="I337" s="25" t="s">
        <v>34</v>
      </c>
      <c r="J337" s="24" t="s">
        <v>34</v>
      </c>
      <c r="K337" s="25" t="s">
        <v>751</v>
      </c>
      <c r="L337" s="20" t="s">
        <v>38</v>
      </c>
      <c r="M337" s="49"/>
    </row>
    <row r="338" spans="1:13" ht="13.5" hidden="1" customHeight="1">
      <c r="A338" s="20">
        <f t="shared" si="4"/>
        <v>331</v>
      </c>
      <c r="B338" s="21" t="s">
        <v>765</v>
      </c>
      <c r="C338" s="21"/>
      <c r="D338" s="1" t="s">
        <v>34</v>
      </c>
      <c r="E338" s="22"/>
      <c r="F338" s="23">
        <v>45336</v>
      </c>
      <c r="G338" s="24" t="s">
        <v>633</v>
      </c>
      <c r="H338" s="24" t="s">
        <v>634</v>
      </c>
      <c r="I338" s="25" t="s">
        <v>34</v>
      </c>
      <c r="J338" s="24" t="s">
        <v>34</v>
      </c>
      <c r="K338" s="25" t="s">
        <v>751</v>
      </c>
      <c r="L338" s="20" t="s">
        <v>38</v>
      </c>
      <c r="M338" s="49"/>
    </row>
    <row r="339" spans="1:13" ht="13.5" hidden="1" customHeight="1">
      <c r="A339" s="20">
        <f t="shared" si="4"/>
        <v>332</v>
      </c>
      <c r="B339" s="21" t="s">
        <v>766</v>
      </c>
      <c r="C339" s="21"/>
      <c r="D339" s="1" t="s">
        <v>34</v>
      </c>
      <c r="E339" s="22"/>
      <c r="F339" s="23">
        <v>45336</v>
      </c>
      <c r="G339" s="24" t="s">
        <v>633</v>
      </c>
      <c r="H339" s="24" t="s">
        <v>634</v>
      </c>
      <c r="I339" s="25" t="s">
        <v>34</v>
      </c>
      <c r="J339" s="24" t="s">
        <v>34</v>
      </c>
      <c r="K339" s="25" t="s">
        <v>751</v>
      </c>
      <c r="L339" s="20" t="s">
        <v>38</v>
      </c>
      <c r="M339" s="49"/>
    </row>
    <row r="340" spans="1:13" ht="13.5" hidden="1" customHeight="1">
      <c r="A340" s="20">
        <f t="shared" si="4"/>
        <v>333</v>
      </c>
      <c r="B340" s="21" t="s">
        <v>767</v>
      </c>
      <c r="C340" s="21"/>
      <c r="D340" s="1" t="s">
        <v>34</v>
      </c>
      <c r="E340" s="22"/>
      <c r="F340" s="23">
        <v>45336</v>
      </c>
      <c r="G340" s="24" t="s">
        <v>633</v>
      </c>
      <c r="H340" s="24" t="s">
        <v>634</v>
      </c>
      <c r="I340" s="25" t="s">
        <v>34</v>
      </c>
      <c r="J340" s="24" t="s">
        <v>34</v>
      </c>
      <c r="K340" s="25" t="s">
        <v>751</v>
      </c>
      <c r="L340" s="20" t="s">
        <v>38</v>
      </c>
      <c r="M340" s="49"/>
    </row>
    <row r="341" spans="1:13" ht="13.5" hidden="1" customHeight="1">
      <c r="A341" s="20">
        <f t="shared" si="4"/>
        <v>334</v>
      </c>
      <c r="B341" s="21" t="s">
        <v>768</v>
      </c>
      <c r="C341" s="21"/>
      <c r="D341" s="1" t="s">
        <v>34</v>
      </c>
      <c r="E341" s="22"/>
      <c r="F341" s="23">
        <v>45336</v>
      </c>
      <c r="G341" s="24" t="s">
        <v>633</v>
      </c>
      <c r="H341" s="24" t="s">
        <v>634</v>
      </c>
      <c r="I341" s="25" t="s">
        <v>34</v>
      </c>
      <c r="J341" s="24" t="s">
        <v>34</v>
      </c>
      <c r="K341" s="25" t="s">
        <v>751</v>
      </c>
      <c r="L341" s="20" t="s">
        <v>38</v>
      </c>
      <c r="M341" s="49"/>
    </row>
    <row r="342" spans="1:13" ht="13.5" hidden="1" customHeight="1">
      <c r="A342" s="20">
        <f t="shared" si="4"/>
        <v>335</v>
      </c>
      <c r="B342" s="21" t="s">
        <v>769</v>
      </c>
      <c r="C342" s="21"/>
      <c r="D342" s="1" t="s">
        <v>34</v>
      </c>
      <c r="E342" s="22"/>
      <c r="F342" s="23">
        <v>45336</v>
      </c>
      <c r="G342" s="24" t="s">
        <v>633</v>
      </c>
      <c r="H342" s="24" t="s">
        <v>634</v>
      </c>
      <c r="I342" s="25" t="s">
        <v>34</v>
      </c>
      <c r="J342" s="24" t="s">
        <v>34</v>
      </c>
      <c r="K342" s="25" t="s">
        <v>751</v>
      </c>
      <c r="L342" s="20" t="s">
        <v>38</v>
      </c>
      <c r="M342" s="49"/>
    </row>
    <row r="343" spans="1:13" ht="13.5" hidden="1" customHeight="1">
      <c r="A343" s="20">
        <f t="shared" si="4"/>
        <v>336</v>
      </c>
      <c r="B343" s="21" t="s">
        <v>770</v>
      </c>
      <c r="C343" s="21"/>
      <c r="D343" s="1" t="s">
        <v>34</v>
      </c>
      <c r="E343" s="22"/>
      <c r="F343" s="23">
        <v>45336</v>
      </c>
      <c r="G343" s="24" t="s">
        <v>633</v>
      </c>
      <c r="H343" s="24" t="s">
        <v>634</v>
      </c>
      <c r="I343" s="25" t="s">
        <v>34</v>
      </c>
      <c r="J343" s="24" t="s">
        <v>34</v>
      </c>
      <c r="K343" s="25" t="s">
        <v>751</v>
      </c>
      <c r="L343" s="20" t="s">
        <v>38</v>
      </c>
      <c r="M343" s="49"/>
    </row>
    <row r="344" spans="1:13" ht="13.5" hidden="1" customHeight="1">
      <c r="A344" s="20">
        <f t="shared" si="4"/>
        <v>337</v>
      </c>
      <c r="B344" s="21" t="s">
        <v>771</v>
      </c>
      <c r="C344" s="21"/>
      <c r="D344" s="1" t="s">
        <v>34</v>
      </c>
      <c r="E344" s="22"/>
      <c r="F344" s="23">
        <v>45336</v>
      </c>
      <c r="G344" s="24" t="s">
        <v>633</v>
      </c>
      <c r="H344" s="24" t="s">
        <v>634</v>
      </c>
      <c r="I344" s="25" t="s">
        <v>34</v>
      </c>
      <c r="J344" s="24" t="s">
        <v>34</v>
      </c>
      <c r="K344" s="25" t="s">
        <v>751</v>
      </c>
      <c r="L344" s="20" t="s">
        <v>38</v>
      </c>
      <c r="M344" s="49"/>
    </row>
    <row r="345" spans="1:13" ht="13.5" hidden="1" customHeight="1">
      <c r="A345" s="20">
        <f t="shared" si="4"/>
        <v>338</v>
      </c>
      <c r="B345" s="21" t="s">
        <v>772</v>
      </c>
      <c r="C345" s="21"/>
      <c r="D345" s="1" t="s">
        <v>34</v>
      </c>
      <c r="E345" s="22"/>
      <c r="F345" s="23">
        <v>45336</v>
      </c>
      <c r="G345" s="24" t="s">
        <v>633</v>
      </c>
      <c r="H345" s="24" t="s">
        <v>634</v>
      </c>
      <c r="I345" s="25" t="s">
        <v>34</v>
      </c>
      <c r="J345" s="24" t="s">
        <v>34</v>
      </c>
      <c r="K345" s="25" t="s">
        <v>751</v>
      </c>
      <c r="L345" s="20" t="s">
        <v>38</v>
      </c>
      <c r="M345" s="49"/>
    </row>
    <row r="346" spans="1:13" ht="13.5" hidden="1" customHeight="1">
      <c r="A346" s="20">
        <f t="shared" si="4"/>
        <v>339</v>
      </c>
      <c r="B346" s="21" t="s">
        <v>773</v>
      </c>
      <c r="C346" s="21"/>
      <c r="D346" s="1" t="s">
        <v>34</v>
      </c>
      <c r="E346" s="22"/>
      <c r="F346" s="23">
        <v>45336</v>
      </c>
      <c r="G346" s="24" t="s">
        <v>633</v>
      </c>
      <c r="H346" s="24" t="s">
        <v>634</v>
      </c>
      <c r="I346" s="25" t="s">
        <v>34</v>
      </c>
      <c r="J346" s="24" t="s">
        <v>34</v>
      </c>
      <c r="K346" s="25" t="s">
        <v>751</v>
      </c>
      <c r="L346" s="20" t="s">
        <v>38</v>
      </c>
      <c r="M346" s="49"/>
    </row>
    <row r="347" spans="1:13" ht="13.5" hidden="1" customHeight="1">
      <c r="A347" s="20">
        <f t="shared" si="4"/>
        <v>340</v>
      </c>
      <c r="B347" s="21" t="s">
        <v>774</v>
      </c>
      <c r="C347" s="21"/>
      <c r="D347" s="1" t="s">
        <v>34</v>
      </c>
      <c r="E347" s="22"/>
      <c r="F347" s="23">
        <v>45336</v>
      </c>
      <c r="G347" s="24" t="s">
        <v>633</v>
      </c>
      <c r="H347" s="24" t="s">
        <v>634</v>
      </c>
      <c r="I347" s="25" t="s">
        <v>34</v>
      </c>
      <c r="J347" s="24" t="s">
        <v>34</v>
      </c>
      <c r="K347" s="25" t="s">
        <v>751</v>
      </c>
      <c r="L347" s="20" t="s">
        <v>38</v>
      </c>
      <c r="M347" s="49"/>
    </row>
    <row r="348" spans="1:13" ht="13.5" hidden="1" customHeight="1">
      <c r="A348" s="20">
        <f t="shared" si="4"/>
        <v>341</v>
      </c>
      <c r="B348" s="21" t="s">
        <v>775</v>
      </c>
      <c r="C348" s="21"/>
      <c r="D348" s="1" t="s">
        <v>34</v>
      </c>
      <c r="E348" s="22"/>
      <c r="F348" s="23">
        <v>45336</v>
      </c>
      <c r="G348" s="24" t="s">
        <v>633</v>
      </c>
      <c r="H348" s="24" t="s">
        <v>634</v>
      </c>
      <c r="I348" s="25" t="s">
        <v>34</v>
      </c>
      <c r="J348" s="24" t="s">
        <v>34</v>
      </c>
      <c r="K348" s="25" t="s">
        <v>751</v>
      </c>
      <c r="L348" s="20" t="s">
        <v>38</v>
      </c>
      <c r="M348" s="49"/>
    </row>
    <row r="349" spans="1:13" ht="13.5" hidden="1" customHeight="1">
      <c r="A349" s="20">
        <f t="shared" si="4"/>
        <v>342</v>
      </c>
      <c r="B349" s="21" t="s">
        <v>776</v>
      </c>
      <c r="C349" s="21"/>
      <c r="D349" s="1" t="s">
        <v>34</v>
      </c>
      <c r="E349" s="22"/>
      <c r="F349" s="23">
        <v>45336</v>
      </c>
      <c r="G349" s="24" t="s">
        <v>633</v>
      </c>
      <c r="H349" s="24" t="s">
        <v>634</v>
      </c>
      <c r="I349" s="25" t="s">
        <v>34</v>
      </c>
      <c r="J349" s="24" t="s">
        <v>34</v>
      </c>
      <c r="K349" s="25" t="s">
        <v>751</v>
      </c>
      <c r="L349" s="20" t="s">
        <v>38</v>
      </c>
      <c r="M349" s="49"/>
    </row>
    <row r="350" spans="1:13" ht="13.5" hidden="1" customHeight="1">
      <c r="A350" s="20">
        <f t="shared" si="4"/>
        <v>343</v>
      </c>
      <c r="B350" s="21" t="s">
        <v>777</v>
      </c>
      <c r="C350" s="21"/>
      <c r="D350" s="1" t="s">
        <v>34</v>
      </c>
      <c r="E350" s="22"/>
      <c r="F350" s="23">
        <v>45336</v>
      </c>
      <c r="G350" s="24" t="s">
        <v>633</v>
      </c>
      <c r="H350" s="24" t="s">
        <v>634</v>
      </c>
      <c r="I350" s="25" t="s">
        <v>34</v>
      </c>
      <c r="J350" s="24" t="s">
        <v>34</v>
      </c>
      <c r="K350" s="25" t="s">
        <v>751</v>
      </c>
      <c r="L350" s="20" t="s">
        <v>38</v>
      </c>
      <c r="M350" s="49"/>
    </row>
    <row r="351" spans="1:13" ht="13.5" hidden="1" customHeight="1">
      <c r="A351" s="20">
        <f t="shared" si="4"/>
        <v>344</v>
      </c>
      <c r="B351" s="21" t="s">
        <v>778</v>
      </c>
      <c r="C351" s="21"/>
      <c r="D351" s="1" t="s">
        <v>34</v>
      </c>
      <c r="E351" s="22"/>
      <c r="F351" s="23">
        <v>45336</v>
      </c>
      <c r="G351" s="24" t="s">
        <v>633</v>
      </c>
      <c r="H351" s="24" t="s">
        <v>634</v>
      </c>
      <c r="I351" s="25" t="s">
        <v>34</v>
      </c>
      <c r="J351" s="24" t="s">
        <v>34</v>
      </c>
      <c r="K351" s="25" t="s">
        <v>751</v>
      </c>
      <c r="L351" s="20" t="s">
        <v>38</v>
      </c>
      <c r="M351" s="49"/>
    </row>
    <row r="352" spans="1:13" ht="13.5" hidden="1" customHeight="1">
      <c r="A352" s="20">
        <f t="shared" si="4"/>
        <v>345</v>
      </c>
      <c r="B352" s="21" t="s">
        <v>779</v>
      </c>
      <c r="C352" s="21"/>
      <c r="D352" s="1" t="s">
        <v>34</v>
      </c>
      <c r="E352" s="22"/>
      <c r="F352" s="23">
        <v>45336</v>
      </c>
      <c r="G352" s="24" t="s">
        <v>633</v>
      </c>
      <c r="H352" s="24" t="s">
        <v>634</v>
      </c>
      <c r="I352" s="25" t="s">
        <v>34</v>
      </c>
      <c r="J352" s="24" t="s">
        <v>34</v>
      </c>
      <c r="K352" s="25" t="s">
        <v>780</v>
      </c>
      <c r="L352" s="20" t="s">
        <v>38</v>
      </c>
      <c r="M352" s="49"/>
    </row>
    <row r="353" spans="1:13" ht="13.5" hidden="1" customHeight="1">
      <c r="A353" s="14">
        <f t="shared" si="4"/>
        <v>346</v>
      </c>
      <c r="B353" s="15" t="s">
        <v>781</v>
      </c>
      <c r="C353" s="15"/>
      <c r="D353" s="2" t="s">
        <v>782</v>
      </c>
      <c r="E353" s="16">
        <v>0</v>
      </c>
      <c r="F353" s="17">
        <v>45336</v>
      </c>
      <c r="G353" s="18" t="s">
        <v>686</v>
      </c>
      <c r="H353" s="18" t="s">
        <v>36</v>
      </c>
      <c r="I353" s="19">
        <v>15</v>
      </c>
      <c r="J353" s="18" t="s">
        <v>234</v>
      </c>
      <c r="K353" s="19" t="s">
        <v>783</v>
      </c>
      <c r="L353" s="14" t="s">
        <v>38</v>
      </c>
      <c r="M353" s="49"/>
    </row>
    <row r="354" spans="1:13" ht="13.5" hidden="1" customHeight="1">
      <c r="A354" s="14">
        <f t="shared" si="4"/>
        <v>347</v>
      </c>
      <c r="B354" s="15" t="s">
        <v>784</v>
      </c>
      <c r="C354" s="15"/>
      <c r="D354" s="2" t="s">
        <v>785</v>
      </c>
      <c r="E354" s="16">
        <v>1</v>
      </c>
      <c r="F354" s="17">
        <v>45336</v>
      </c>
      <c r="G354" s="18" t="s">
        <v>94</v>
      </c>
      <c r="H354" s="18" t="s">
        <v>36</v>
      </c>
      <c r="I354" s="19">
        <v>20</v>
      </c>
      <c r="J354" s="18" t="s">
        <v>234</v>
      </c>
      <c r="K354" s="19" t="s">
        <v>786</v>
      </c>
      <c r="L354" s="14" t="s">
        <v>38</v>
      </c>
      <c r="M354" s="49"/>
    </row>
    <row r="355" spans="1:13" ht="13.5" hidden="1" customHeight="1">
      <c r="A355" s="20">
        <f t="shared" si="4"/>
        <v>348</v>
      </c>
      <c r="B355" s="21" t="s">
        <v>787</v>
      </c>
      <c r="C355" s="21"/>
      <c r="D355" s="1" t="s">
        <v>34</v>
      </c>
      <c r="E355" s="22"/>
      <c r="F355" s="23">
        <v>45336</v>
      </c>
      <c r="G355" s="24" t="s">
        <v>633</v>
      </c>
      <c r="H355" s="24" t="s">
        <v>634</v>
      </c>
      <c r="I355" s="25" t="s">
        <v>34</v>
      </c>
      <c r="J355" s="24" t="s">
        <v>34</v>
      </c>
      <c r="K355" s="25" t="s">
        <v>786</v>
      </c>
      <c r="L355" s="20" t="s">
        <v>38</v>
      </c>
      <c r="M355" s="49"/>
    </row>
    <row r="356" spans="1:13" ht="13.5" hidden="1" customHeight="1">
      <c r="A356" s="14">
        <f t="shared" si="4"/>
        <v>349</v>
      </c>
      <c r="B356" s="15" t="s">
        <v>788</v>
      </c>
      <c r="C356" s="15"/>
      <c r="D356" s="2" t="s">
        <v>789</v>
      </c>
      <c r="E356" s="16" t="s">
        <v>34</v>
      </c>
      <c r="F356" s="17">
        <v>45336</v>
      </c>
      <c r="G356" s="18" t="s">
        <v>609</v>
      </c>
      <c r="H356" s="18" t="s">
        <v>36</v>
      </c>
      <c r="I356" s="19">
        <v>11</v>
      </c>
      <c r="J356" s="18" t="s">
        <v>234</v>
      </c>
      <c r="K356" s="19" t="s">
        <v>790</v>
      </c>
      <c r="L356" s="14" t="s">
        <v>38</v>
      </c>
      <c r="M356" s="49"/>
    </row>
    <row r="357" spans="1:13" ht="13.5" hidden="1" customHeight="1">
      <c r="A357" s="14">
        <f t="shared" si="4"/>
        <v>350</v>
      </c>
      <c r="B357" s="15" t="s">
        <v>791</v>
      </c>
      <c r="C357" s="15"/>
      <c r="D357" s="2" t="s">
        <v>792</v>
      </c>
      <c r="E357" s="16" t="s">
        <v>34</v>
      </c>
      <c r="F357" s="17">
        <v>45336</v>
      </c>
      <c r="G357" s="18" t="s">
        <v>609</v>
      </c>
      <c r="H357" s="18" t="s">
        <v>36</v>
      </c>
      <c r="I357" s="19">
        <v>18</v>
      </c>
      <c r="J357" s="18" t="s">
        <v>234</v>
      </c>
      <c r="K357" s="19" t="s">
        <v>790</v>
      </c>
      <c r="L357" s="14" t="s">
        <v>38</v>
      </c>
      <c r="M357" s="49"/>
    </row>
    <row r="358" spans="1:13" ht="13.5" hidden="1" customHeight="1">
      <c r="A358" s="14">
        <f t="shared" si="4"/>
        <v>351</v>
      </c>
      <c r="B358" s="15" t="s">
        <v>793</v>
      </c>
      <c r="C358" s="15"/>
      <c r="D358" s="2" t="s">
        <v>794</v>
      </c>
      <c r="E358" s="16" t="s">
        <v>34</v>
      </c>
      <c r="F358" s="17">
        <v>45336</v>
      </c>
      <c r="G358" s="18" t="s">
        <v>609</v>
      </c>
      <c r="H358" s="18" t="s">
        <v>36</v>
      </c>
      <c r="I358" s="19">
        <v>19</v>
      </c>
      <c r="J358" s="18" t="s">
        <v>234</v>
      </c>
      <c r="K358" s="19" t="s">
        <v>790</v>
      </c>
      <c r="L358" s="14" t="s">
        <v>38</v>
      </c>
      <c r="M358" s="49"/>
    </row>
    <row r="359" spans="1:13" ht="13.5" hidden="1" customHeight="1">
      <c r="A359" s="14">
        <f t="shared" si="4"/>
        <v>352</v>
      </c>
      <c r="B359" s="15" t="s">
        <v>795</v>
      </c>
      <c r="C359" s="15"/>
      <c r="D359" s="2" t="s">
        <v>796</v>
      </c>
      <c r="E359" s="16" t="s">
        <v>34</v>
      </c>
      <c r="F359" s="17">
        <v>45336</v>
      </c>
      <c r="G359" s="18" t="s">
        <v>609</v>
      </c>
      <c r="H359" s="18" t="s">
        <v>36</v>
      </c>
      <c r="I359" s="19">
        <v>26</v>
      </c>
      <c r="J359" s="18" t="s">
        <v>234</v>
      </c>
      <c r="K359" s="19" t="s">
        <v>790</v>
      </c>
      <c r="L359" s="14" t="s">
        <v>38</v>
      </c>
      <c r="M359" s="49"/>
    </row>
    <row r="360" spans="1:13" ht="13.5" hidden="1" customHeight="1">
      <c r="A360" s="14">
        <f t="shared" si="4"/>
        <v>353</v>
      </c>
      <c r="B360" s="15" t="s">
        <v>797</v>
      </c>
      <c r="C360" s="15"/>
      <c r="D360" s="2" t="s">
        <v>798</v>
      </c>
      <c r="E360" s="16" t="s">
        <v>34</v>
      </c>
      <c r="F360" s="17">
        <v>45336</v>
      </c>
      <c r="G360" s="18" t="s">
        <v>609</v>
      </c>
      <c r="H360" s="18" t="s">
        <v>36</v>
      </c>
      <c r="I360" s="19">
        <v>15</v>
      </c>
      <c r="J360" s="18" t="s">
        <v>234</v>
      </c>
      <c r="K360" s="19" t="s">
        <v>790</v>
      </c>
      <c r="L360" s="14" t="s">
        <v>38</v>
      </c>
      <c r="M360" s="49"/>
    </row>
    <row r="361" spans="1:13" ht="13.5" hidden="1" customHeight="1">
      <c r="A361" s="20">
        <f t="shared" si="4"/>
        <v>354</v>
      </c>
      <c r="B361" s="21" t="s">
        <v>799</v>
      </c>
      <c r="C361" s="21"/>
      <c r="D361" s="1" t="s">
        <v>34</v>
      </c>
      <c r="E361" s="22"/>
      <c r="F361" s="23">
        <v>45336</v>
      </c>
      <c r="G361" s="24" t="s">
        <v>633</v>
      </c>
      <c r="H361" s="24" t="s">
        <v>634</v>
      </c>
      <c r="I361" s="25" t="s">
        <v>34</v>
      </c>
      <c r="J361" s="24" t="s">
        <v>34</v>
      </c>
      <c r="K361" s="25" t="s">
        <v>790</v>
      </c>
      <c r="L361" s="20" t="s">
        <v>38</v>
      </c>
      <c r="M361" s="49"/>
    </row>
    <row r="362" spans="1:13" ht="13.5" hidden="1" customHeight="1">
      <c r="A362" s="26">
        <f t="shared" si="4"/>
        <v>355</v>
      </c>
      <c r="B362" s="27" t="s">
        <v>800</v>
      </c>
      <c r="C362" s="27"/>
      <c r="D362" s="28" t="s">
        <v>796</v>
      </c>
      <c r="E362" s="29" t="s">
        <v>34</v>
      </c>
      <c r="F362" s="30">
        <v>45336</v>
      </c>
      <c r="G362" s="31" t="s">
        <v>609</v>
      </c>
      <c r="H362" s="31" t="s">
        <v>36</v>
      </c>
      <c r="I362" s="32">
        <v>26</v>
      </c>
      <c r="J362" s="31" t="s">
        <v>234</v>
      </c>
      <c r="K362" s="32" t="s">
        <v>790</v>
      </c>
      <c r="L362" s="14" t="s">
        <v>38</v>
      </c>
      <c r="M362" s="49"/>
    </row>
    <row r="363" spans="1:13" ht="13.5" hidden="1" customHeight="1">
      <c r="A363" s="20">
        <f t="shared" si="4"/>
        <v>356</v>
      </c>
      <c r="B363" s="21" t="s">
        <v>801</v>
      </c>
      <c r="C363" s="21"/>
      <c r="D363" s="1" t="s">
        <v>34</v>
      </c>
      <c r="E363" s="22"/>
      <c r="F363" s="23">
        <v>45336</v>
      </c>
      <c r="G363" s="24" t="s">
        <v>633</v>
      </c>
      <c r="H363" s="24" t="s">
        <v>634</v>
      </c>
      <c r="I363" s="25" t="s">
        <v>34</v>
      </c>
      <c r="J363" s="24" t="s">
        <v>34</v>
      </c>
      <c r="K363" s="25" t="s">
        <v>790</v>
      </c>
      <c r="L363" s="20" t="s">
        <v>38</v>
      </c>
      <c r="M363" s="49"/>
    </row>
    <row r="364" spans="1:13" ht="13.5" hidden="1" customHeight="1">
      <c r="A364" s="14">
        <f t="shared" si="4"/>
        <v>357</v>
      </c>
      <c r="B364" s="15" t="s">
        <v>802</v>
      </c>
      <c r="C364" s="15"/>
      <c r="D364" s="2" t="s">
        <v>803</v>
      </c>
      <c r="E364" s="16" t="s">
        <v>34</v>
      </c>
      <c r="F364" s="17">
        <v>45336</v>
      </c>
      <c r="G364" s="18" t="s">
        <v>804</v>
      </c>
      <c r="H364" s="18" t="s">
        <v>36</v>
      </c>
      <c r="I364" s="19">
        <v>1</v>
      </c>
      <c r="J364" s="18" t="s">
        <v>234</v>
      </c>
      <c r="K364" s="19" t="s">
        <v>805</v>
      </c>
      <c r="L364" s="14" t="s">
        <v>38</v>
      </c>
      <c r="M364" s="49"/>
    </row>
    <row r="365" spans="1:13" ht="13.5" hidden="1" customHeight="1">
      <c r="A365" s="14">
        <f t="shared" si="4"/>
        <v>358</v>
      </c>
      <c r="B365" s="15" t="s">
        <v>806</v>
      </c>
      <c r="C365" s="15"/>
      <c r="D365" s="2" t="s">
        <v>807</v>
      </c>
      <c r="E365" s="16" t="s">
        <v>34</v>
      </c>
      <c r="F365" s="17">
        <v>45336</v>
      </c>
      <c r="G365" s="18" t="s">
        <v>804</v>
      </c>
      <c r="H365" s="18" t="s">
        <v>36</v>
      </c>
      <c r="I365" s="19">
        <v>1</v>
      </c>
      <c r="J365" s="18" t="s">
        <v>234</v>
      </c>
      <c r="K365" s="19" t="s">
        <v>805</v>
      </c>
      <c r="L365" s="14" t="s">
        <v>38</v>
      </c>
      <c r="M365" s="49"/>
    </row>
    <row r="366" spans="1:13" ht="13.5" hidden="1" customHeight="1">
      <c r="A366" s="14">
        <f t="shared" si="4"/>
        <v>359</v>
      </c>
      <c r="B366" s="15" t="s">
        <v>808</v>
      </c>
      <c r="C366" s="15"/>
      <c r="D366" s="2" t="s">
        <v>809</v>
      </c>
      <c r="E366" s="16" t="s">
        <v>34</v>
      </c>
      <c r="F366" s="17">
        <v>45336</v>
      </c>
      <c r="G366" s="18" t="s">
        <v>804</v>
      </c>
      <c r="H366" s="18" t="s">
        <v>36</v>
      </c>
      <c r="I366" s="19">
        <v>1</v>
      </c>
      <c r="J366" s="18" t="s">
        <v>234</v>
      </c>
      <c r="K366" s="19" t="s">
        <v>805</v>
      </c>
      <c r="L366" s="14" t="s">
        <v>38</v>
      </c>
      <c r="M366" s="49"/>
    </row>
    <row r="367" spans="1:13" ht="13.5" hidden="1" customHeight="1">
      <c r="A367" s="14">
        <f t="shared" si="4"/>
        <v>360</v>
      </c>
      <c r="B367" s="15" t="s">
        <v>810</v>
      </c>
      <c r="C367" s="15"/>
      <c r="D367" s="2" t="s">
        <v>811</v>
      </c>
      <c r="E367" s="16" t="s">
        <v>34</v>
      </c>
      <c r="F367" s="17">
        <v>45336</v>
      </c>
      <c r="G367" s="18" t="s">
        <v>804</v>
      </c>
      <c r="H367" s="18" t="s">
        <v>36</v>
      </c>
      <c r="I367" s="19">
        <v>1</v>
      </c>
      <c r="J367" s="18" t="s">
        <v>234</v>
      </c>
      <c r="K367" s="19" t="s">
        <v>805</v>
      </c>
      <c r="L367" s="14" t="s">
        <v>38</v>
      </c>
      <c r="M367" s="49"/>
    </row>
    <row r="368" spans="1:13" ht="13.5" hidden="1" customHeight="1">
      <c r="A368" s="14">
        <f t="shared" si="4"/>
        <v>361</v>
      </c>
      <c r="B368" s="15" t="s">
        <v>812</v>
      </c>
      <c r="C368" s="15"/>
      <c r="D368" s="2" t="s">
        <v>813</v>
      </c>
      <c r="E368" s="16" t="s">
        <v>34</v>
      </c>
      <c r="F368" s="17">
        <v>45336</v>
      </c>
      <c r="G368" s="18" t="s">
        <v>804</v>
      </c>
      <c r="H368" s="18" t="s">
        <v>36</v>
      </c>
      <c r="I368" s="19">
        <v>1</v>
      </c>
      <c r="J368" s="18" t="s">
        <v>234</v>
      </c>
      <c r="K368" s="19" t="s">
        <v>805</v>
      </c>
      <c r="L368" s="14" t="s">
        <v>38</v>
      </c>
      <c r="M368" s="49"/>
    </row>
    <row r="369" spans="1:13" ht="13.5" hidden="1" customHeight="1">
      <c r="A369" s="14">
        <f t="shared" si="4"/>
        <v>362</v>
      </c>
      <c r="B369" s="15" t="s">
        <v>814</v>
      </c>
      <c r="C369" s="15"/>
      <c r="D369" s="2" t="s">
        <v>815</v>
      </c>
      <c r="E369" s="16" t="s">
        <v>34</v>
      </c>
      <c r="F369" s="17">
        <v>45336</v>
      </c>
      <c r="G369" s="18" t="s">
        <v>804</v>
      </c>
      <c r="H369" s="18" t="s">
        <v>36</v>
      </c>
      <c r="I369" s="19">
        <v>1</v>
      </c>
      <c r="J369" s="18" t="s">
        <v>234</v>
      </c>
      <c r="K369" s="19" t="s">
        <v>805</v>
      </c>
      <c r="L369" s="14" t="s">
        <v>38</v>
      </c>
      <c r="M369" s="49"/>
    </row>
    <row r="370" spans="1:13" ht="13.5" hidden="1" customHeight="1">
      <c r="A370" s="14">
        <f t="shared" si="4"/>
        <v>363</v>
      </c>
      <c r="B370" s="15" t="s">
        <v>816</v>
      </c>
      <c r="C370" s="15"/>
      <c r="D370" s="2" t="s">
        <v>817</v>
      </c>
      <c r="E370" s="16" t="s">
        <v>34</v>
      </c>
      <c r="F370" s="17">
        <v>45336</v>
      </c>
      <c r="G370" s="18" t="s">
        <v>804</v>
      </c>
      <c r="H370" s="18" t="s">
        <v>36</v>
      </c>
      <c r="I370" s="19">
        <v>1</v>
      </c>
      <c r="J370" s="18" t="s">
        <v>234</v>
      </c>
      <c r="K370" s="19" t="s">
        <v>805</v>
      </c>
      <c r="L370" s="14" t="s">
        <v>38</v>
      </c>
      <c r="M370" s="49"/>
    </row>
    <row r="371" spans="1:13" ht="13.5" hidden="1" customHeight="1">
      <c r="A371" s="20">
        <f t="shared" si="4"/>
        <v>364</v>
      </c>
      <c r="B371" s="21" t="s">
        <v>818</v>
      </c>
      <c r="C371" s="21"/>
      <c r="D371" s="1" t="s">
        <v>34</v>
      </c>
      <c r="E371" s="22"/>
      <c r="F371" s="23">
        <v>45336</v>
      </c>
      <c r="G371" s="24" t="s">
        <v>633</v>
      </c>
      <c r="H371" s="24" t="s">
        <v>634</v>
      </c>
      <c r="I371" s="25" t="s">
        <v>34</v>
      </c>
      <c r="J371" s="24" t="s">
        <v>34</v>
      </c>
      <c r="K371" s="25" t="s">
        <v>819</v>
      </c>
      <c r="L371" s="20" t="s">
        <v>38</v>
      </c>
      <c r="M371" s="49"/>
    </row>
    <row r="372" spans="1:13" ht="13.5" hidden="1" customHeight="1">
      <c r="A372" s="14">
        <f t="shared" si="4"/>
        <v>365</v>
      </c>
      <c r="B372" s="15" t="s">
        <v>820</v>
      </c>
      <c r="C372" s="15"/>
      <c r="D372" s="2" t="s">
        <v>820</v>
      </c>
      <c r="E372" s="16">
        <v>1</v>
      </c>
      <c r="F372" s="17">
        <v>45336</v>
      </c>
      <c r="G372" s="18" t="s">
        <v>41</v>
      </c>
      <c r="H372" s="18" t="s">
        <v>36</v>
      </c>
      <c r="I372" s="19" t="s">
        <v>34</v>
      </c>
      <c r="J372" s="18" t="s">
        <v>234</v>
      </c>
      <c r="K372" s="19" t="s">
        <v>819</v>
      </c>
      <c r="L372" s="14" t="s">
        <v>38</v>
      </c>
      <c r="M372" s="49"/>
    </row>
    <row r="373" spans="1:13" ht="13.5" hidden="1" customHeight="1">
      <c r="A373" s="14">
        <f t="shared" si="4"/>
        <v>366</v>
      </c>
      <c r="B373" s="15" t="s">
        <v>821</v>
      </c>
      <c r="C373" s="15"/>
      <c r="D373" s="2" t="s">
        <v>822</v>
      </c>
      <c r="E373" s="16">
        <v>3</v>
      </c>
      <c r="F373" s="17">
        <v>45336</v>
      </c>
      <c r="G373" s="18" t="s">
        <v>152</v>
      </c>
      <c r="H373" s="18" t="s">
        <v>36</v>
      </c>
      <c r="I373" s="19">
        <v>17</v>
      </c>
      <c r="J373" s="18" t="s">
        <v>234</v>
      </c>
      <c r="K373" s="19" t="s">
        <v>823</v>
      </c>
      <c r="L373" s="14" t="s">
        <v>38</v>
      </c>
      <c r="M373" s="49"/>
    </row>
    <row r="374" spans="1:13" ht="13.5" hidden="1" customHeight="1">
      <c r="A374" s="14">
        <f t="shared" si="4"/>
        <v>367</v>
      </c>
      <c r="B374" s="15" t="s">
        <v>824</v>
      </c>
      <c r="C374" s="15"/>
      <c r="D374" s="2" t="s">
        <v>825</v>
      </c>
      <c r="E374" s="16" t="s">
        <v>34</v>
      </c>
      <c r="F374" s="17">
        <v>45336</v>
      </c>
      <c r="G374" s="18" t="s">
        <v>41</v>
      </c>
      <c r="H374" s="18" t="s">
        <v>36</v>
      </c>
      <c r="I374" s="19" t="s">
        <v>34</v>
      </c>
      <c r="J374" s="18" t="s">
        <v>234</v>
      </c>
      <c r="K374" s="19" t="s">
        <v>826</v>
      </c>
      <c r="L374" s="14" t="s">
        <v>38</v>
      </c>
      <c r="M374" s="49"/>
    </row>
    <row r="375" spans="1:13" ht="13.5" hidden="1" customHeight="1">
      <c r="A375" s="20">
        <f t="shared" si="4"/>
        <v>368</v>
      </c>
      <c r="B375" s="21" t="s">
        <v>827</v>
      </c>
      <c r="C375" s="21"/>
      <c r="D375" s="1" t="s">
        <v>34</v>
      </c>
      <c r="E375" s="22"/>
      <c r="F375" s="23">
        <v>45336</v>
      </c>
      <c r="G375" s="24" t="s">
        <v>633</v>
      </c>
      <c r="H375" s="24" t="s">
        <v>634</v>
      </c>
      <c r="I375" s="25" t="s">
        <v>34</v>
      </c>
      <c r="J375" s="24" t="s">
        <v>34</v>
      </c>
      <c r="K375" s="25" t="s">
        <v>828</v>
      </c>
      <c r="L375" s="20" t="s">
        <v>38</v>
      </c>
      <c r="M375" s="49"/>
    </row>
    <row r="376" spans="1:13" ht="13.5" hidden="1" customHeight="1">
      <c r="A376" s="14">
        <f t="shared" si="4"/>
        <v>369</v>
      </c>
      <c r="B376" s="15" t="s">
        <v>829</v>
      </c>
      <c r="C376" s="15"/>
      <c r="D376" s="2" t="s">
        <v>830</v>
      </c>
      <c r="E376" s="16">
        <v>2</v>
      </c>
      <c r="F376" s="17">
        <v>45336</v>
      </c>
      <c r="G376" s="18" t="s">
        <v>609</v>
      </c>
      <c r="H376" s="18" t="s">
        <v>36</v>
      </c>
      <c r="I376" s="19">
        <v>22</v>
      </c>
      <c r="J376" s="18" t="s">
        <v>234</v>
      </c>
      <c r="K376" s="19" t="s">
        <v>831</v>
      </c>
      <c r="L376" s="14" t="s">
        <v>38</v>
      </c>
      <c r="M376" s="49"/>
    </row>
    <row r="377" spans="1:13" ht="13.5" hidden="1" customHeight="1">
      <c r="A377" s="14">
        <f t="shared" si="4"/>
        <v>370</v>
      </c>
      <c r="B377" s="15" t="s">
        <v>832</v>
      </c>
      <c r="C377" s="15"/>
      <c r="D377" s="2" t="s">
        <v>833</v>
      </c>
      <c r="E377" s="16">
        <v>2</v>
      </c>
      <c r="F377" s="17">
        <v>45336</v>
      </c>
      <c r="G377" s="18" t="s">
        <v>686</v>
      </c>
      <c r="H377" s="18" t="s">
        <v>36</v>
      </c>
      <c r="I377" s="19" t="s">
        <v>34</v>
      </c>
      <c r="J377" s="18" t="s">
        <v>234</v>
      </c>
      <c r="K377" s="19" t="s">
        <v>831</v>
      </c>
      <c r="L377" s="14" t="s">
        <v>38</v>
      </c>
      <c r="M377" s="49"/>
    </row>
    <row r="378" spans="1:13" ht="13.5" hidden="1" customHeight="1">
      <c r="A378" s="20">
        <f t="shared" si="4"/>
        <v>371</v>
      </c>
      <c r="B378" s="21" t="s">
        <v>834</v>
      </c>
      <c r="C378" s="21"/>
      <c r="D378" s="1" t="s">
        <v>34</v>
      </c>
      <c r="E378" s="22"/>
      <c r="F378" s="23">
        <v>45336</v>
      </c>
      <c r="G378" s="24" t="s">
        <v>633</v>
      </c>
      <c r="H378" s="24" t="s">
        <v>634</v>
      </c>
      <c r="I378" s="25" t="s">
        <v>34</v>
      </c>
      <c r="J378" s="24" t="s">
        <v>34</v>
      </c>
      <c r="K378" s="25" t="s">
        <v>831</v>
      </c>
      <c r="L378" s="20" t="s">
        <v>38</v>
      </c>
      <c r="M378" s="49"/>
    </row>
    <row r="379" spans="1:13" ht="13.5" hidden="1" customHeight="1">
      <c r="A379" s="14">
        <f t="shared" si="4"/>
        <v>372</v>
      </c>
      <c r="B379" s="15" t="s">
        <v>835</v>
      </c>
      <c r="C379" s="15"/>
      <c r="D379" s="2" t="s">
        <v>836</v>
      </c>
      <c r="E379" s="16">
        <v>4</v>
      </c>
      <c r="F379" s="17">
        <v>45336</v>
      </c>
      <c r="G379" s="18" t="s">
        <v>41</v>
      </c>
      <c r="H379" s="18" t="s">
        <v>36</v>
      </c>
      <c r="I379" s="19" t="s">
        <v>34</v>
      </c>
      <c r="J379" s="18" t="s">
        <v>234</v>
      </c>
      <c r="K379" s="19" t="s">
        <v>831</v>
      </c>
      <c r="L379" s="14" t="s">
        <v>38</v>
      </c>
      <c r="M379" s="49"/>
    </row>
    <row r="380" spans="1:13" ht="13.5" hidden="1" customHeight="1">
      <c r="A380" s="14">
        <f t="shared" si="4"/>
        <v>373</v>
      </c>
      <c r="B380" s="15" t="s">
        <v>837</v>
      </c>
      <c r="C380" s="15"/>
      <c r="D380" s="2" t="s">
        <v>838</v>
      </c>
      <c r="E380" s="16" t="s">
        <v>34</v>
      </c>
      <c r="F380" s="17">
        <v>45336</v>
      </c>
      <c r="G380" s="18" t="s">
        <v>686</v>
      </c>
      <c r="H380" s="18" t="s">
        <v>36</v>
      </c>
      <c r="I380" s="19">
        <v>9</v>
      </c>
      <c r="J380" s="18" t="s">
        <v>234</v>
      </c>
      <c r="K380" s="19" t="s">
        <v>839</v>
      </c>
      <c r="L380" s="14" t="s">
        <v>38</v>
      </c>
      <c r="M380" s="49"/>
    </row>
    <row r="381" spans="1:13" ht="13.5" hidden="1" customHeight="1">
      <c r="A381" s="20">
        <f t="shared" si="4"/>
        <v>374</v>
      </c>
      <c r="B381" s="21" t="s">
        <v>840</v>
      </c>
      <c r="C381" s="21"/>
      <c r="D381" s="1" t="s">
        <v>34</v>
      </c>
      <c r="E381" s="22"/>
      <c r="F381" s="23">
        <v>45336</v>
      </c>
      <c r="G381" s="24" t="s">
        <v>633</v>
      </c>
      <c r="H381" s="24" t="s">
        <v>634</v>
      </c>
      <c r="I381" s="25" t="s">
        <v>34</v>
      </c>
      <c r="J381" s="24" t="s">
        <v>34</v>
      </c>
      <c r="K381" s="25" t="s">
        <v>839</v>
      </c>
      <c r="L381" s="20" t="s">
        <v>38</v>
      </c>
      <c r="M381" s="49"/>
    </row>
    <row r="382" spans="1:13" ht="13.5" hidden="1" customHeight="1">
      <c r="A382" s="14">
        <f t="shared" si="4"/>
        <v>375</v>
      </c>
      <c r="B382" s="15" t="s">
        <v>841</v>
      </c>
      <c r="C382" s="15"/>
      <c r="D382" s="2" t="s">
        <v>842</v>
      </c>
      <c r="E382" s="16" t="s">
        <v>34</v>
      </c>
      <c r="F382" s="17">
        <v>45336</v>
      </c>
      <c r="G382" s="18" t="s">
        <v>668</v>
      </c>
      <c r="H382" s="18" t="s">
        <v>36</v>
      </c>
      <c r="I382" s="19">
        <v>32</v>
      </c>
      <c r="J382" s="18" t="s">
        <v>234</v>
      </c>
      <c r="K382" s="19" t="s">
        <v>839</v>
      </c>
      <c r="L382" s="14" t="s">
        <v>38</v>
      </c>
      <c r="M382" s="49"/>
    </row>
    <row r="383" spans="1:13" ht="13.5" hidden="1" customHeight="1">
      <c r="A383" s="14">
        <f t="shared" si="4"/>
        <v>376</v>
      </c>
      <c r="B383" s="15" t="s">
        <v>843</v>
      </c>
      <c r="C383" s="15"/>
      <c r="D383" s="2" t="s">
        <v>844</v>
      </c>
      <c r="E383" s="16">
        <v>1</v>
      </c>
      <c r="F383" s="17">
        <v>45336</v>
      </c>
      <c r="G383" s="18" t="s">
        <v>686</v>
      </c>
      <c r="H383" s="18" t="s">
        <v>36</v>
      </c>
      <c r="I383" s="19">
        <v>7</v>
      </c>
      <c r="J383" s="18" t="s">
        <v>234</v>
      </c>
      <c r="K383" s="19" t="s">
        <v>845</v>
      </c>
      <c r="L383" s="14" t="s">
        <v>38</v>
      </c>
      <c r="M383" s="49"/>
    </row>
    <row r="384" spans="1:13" ht="13.5" hidden="1" customHeight="1">
      <c r="A384" s="14">
        <f t="shared" si="4"/>
        <v>377</v>
      </c>
      <c r="B384" s="15" t="s">
        <v>846</v>
      </c>
      <c r="C384" s="15"/>
      <c r="D384" s="2" t="s">
        <v>847</v>
      </c>
      <c r="E384" s="16">
        <v>3</v>
      </c>
      <c r="F384" s="17">
        <v>45336</v>
      </c>
      <c r="G384" s="18" t="s">
        <v>41</v>
      </c>
      <c r="H384" s="18" t="s">
        <v>36</v>
      </c>
      <c r="I384" s="19" t="s">
        <v>34</v>
      </c>
      <c r="J384" s="18" t="s">
        <v>234</v>
      </c>
      <c r="K384" s="19" t="s">
        <v>848</v>
      </c>
      <c r="L384" s="14" t="s">
        <v>38</v>
      </c>
      <c r="M384" s="49"/>
    </row>
    <row r="385" spans="1:13" ht="13.5" hidden="1" customHeight="1">
      <c r="A385" s="14">
        <f t="shared" si="4"/>
        <v>378</v>
      </c>
      <c r="B385" s="15" t="s">
        <v>849</v>
      </c>
      <c r="C385" s="15"/>
      <c r="D385" s="2" t="s">
        <v>850</v>
      </c>
      <c r="E385" s="16">
        <v>3</v>
      </c>
      <c r="F385" s="17">
        <v>45336</v>
      </c>
      <c r="G385" s="18" t="s">
        <v>41</v>
      </c>
      <c r="H385" s="18" t="s">
        <v>36</v>
      </c>
      <c r="I385" s="19" t="s">
        <v>34</v>
      </c>
      <c r="J385" s="18" t="s">
        <v>234</v>
      </c>
      <c r="K385" s="19" t="s">
        <v>848</v>
      </c>
      <c r="L385" s="14" t="s">
        <v>38</v>
      </c>
      <c r="M385" s="49"/>
    </row>
    <row r="386" spans="1:13" ht="13.5" hidden="1" customHeight="1">
      <c r="A386" s="14">
        <f t="shared" si="4"/>
        <v>379</v>
      </c>
      <c r="B386" s="15" t="s">
        <v>851</v>
      </c>
      <c r="C386" s="15"/>
      <c r="D386" s="2" t="s">
        <v>852</v>
      </c>
      <c r="E386" s="16">
        <v>5</v>
      </c>
      <c r="F386" s="17">
        <v>45336</v>
      </c>
      <c r="G386" s="18" t="s">
        <v>41</v>
      </c>
      <c r="H386" s="18" t="s">
        <v>36</v>
      </c>
      <c r="I386" s="19" t="s">
        <v>34</v>
      </c>
      <c r="J386" s="18" t="s">
        <v>234</v>
      </c>
      <c r="K386" s="19" t="s">
        <v>848</v>
      </c>
      <c r="L386" s="14" t="s">
        <v>38</v>
      </c>
      <c r="M386" s="49"/>
    </row>
    <row r="387" spans="1:13" ht="13.5" hidden="1" customHeight="1">
      <c r="A387" s="14">
        <f t="shared" si="4"/>
        <v>380</v>
      </c>
      <c r="B387" s="15" t="s">
        <v>853</v>
      </c>
      <c r="C387" s="15"/>
      <c r="D387" s="2" t="s">
        <v>854</v>
      </c>
      <c r="E387" s="16">
        <v>3</v>
      </c>
      <c r="F387" s="17">
        <v>45336</v>
      </c>
      <c r="G387" s="18" t="s">
        <v>41</v>
      </c>
      <c r="H387" s="18" t="s">
        <v>36</v>
      </c>
      <c r="I387" s="19" t="s">
        <v>34</v>
      </c>
      <c r="J387" s="18" t="s">
        <v>234</v>
      </c>
      <c r="K387" s="19" t="s">
        <v>848</v>
      </c>
      <c r="L387" s="14" t="s">
        <v>38</v>
      </c>
      <c r="M387" s="49"/>
    </row>
    <row r="388" spans="1:13" ht="13.5" hidden="1" customHeight="1">
      <c r="A388" s="14">
        <f t="shared" ref="A388:A451" si="5">ROW()-7</f>
        <v>381</v>
      </c>
      <c r="B388" s="15" t="s">
        <v>855</v>
      </c>
      <c r="C388" s="15"/>
      <c r="D388" s="2" t="s">
        <v>856</v>
      </c>
      <c r="E388" s="16">
        <v>3</v>
      </c>
      <c r="F388" s="17">
        <v>45336</v>
      </c>
      <c r="G388" s="18" t="s">
        <v>41</v>
      </c>
      <c r="H388" s="18" t="s">
        <v>36</v>
      </c>
      <c r="I388" s="19" t="s">
        <v>34</v>
      </c>
      <c r="J388" s="18" t="s">
        <v>234</v>
      </c>
      <c r="K388" s="19" t="s">
        <v>848</v>
      </c>
      <c r="L388" s="14" t="s">
        <v>38</v>
      </c>
      <c r="M388" s="49"/>
    </row>
    <row r="389" spans="1:13" ht="13.5" hidden="1" customHeight="1">
      <c r="A389" s="14">
        <f t="shared" si="5"/>
        <v>382</v>
      </c>
      <c r="B389" s="15" t="s">
        <v>857</v>
      </c>
      <c r="C389" s="15"/>
      <c r="D389" s="2" t="s">
        <v>858</v>
      </c>
      <c r="E389" s="16">
        <v>3</v>
      </c>
      <c r="F389" s="17">
        <v>45336</v>
      </c>
      <c r="G389" s="18" t="s">
        <v>41</v>
      </c>
      <c r="H389" s="18" t="s">
        <v>36</v>
      </c>
      <c r="I389" s="19" t="s">
        <v>34</v>
      </c>
      <c r="J389" s="18" t="s">
        <v>234</v>
      </c>
      <c r="K389" s="19" t="s">
        <v>848</v>
      </c>
      <c r="L389" s="14" t="s">
        <v>38</v>
      </c>
      <c r="M389" s="49"/>
    </row>
    <row r="390" spans="1:13" ht="13.5" hidden="1" customHeight="1">
      <c r="A390" s="14">
        <f t="shared" si="5"/>
        <v>383</v>
      </c>
      <c r="B390" s="15" t="s">
        <v>859</v>
      </c>
      <c r="C390" s="15"/>
      <c r="D390" s="2" t="s">
        <v>860</v>
      </c>
      <c r="E390" s="16">
        <v>3</v>
      </c>
      <c r="F390" s="17">
        <v>45336</v>
      </c>
      <c r="G390" s="18" t="s">
        <v>41</v>
      </c>
      <c r="H390" s="18" t="s">
        <v>36</v>
      </c>
      <c r="I390" s="19" t="s">
        <v>34</v>
      </c>
      <c r="J390" s="18" t="s">
        <v>234</v>
      </c>
      <c r="K390" s="19" t="s">
        <v>848</v>
      </c>
      <c r="L390" s="14" t="s">
        <v>38</v>
      </c>
      <c r="M390" s="49"/>
    </row>
    <row r="391" spans="1:13" ht="13.5" hidden="1" customHeight="1">
      <c r="A391" s="14">
        <f t="shared" si="5"/>
        <v>384</v>
      </c>
      <c r="B391" s="15" t="s">
        <v>861</v>
      </c>
      <c r="C391" s="15"/>
      <c r="D391" s="2" t="s">
        <v>862</v>
      </c>
      <c r="E391" s="16">
        <v>3</v>
      </c>
      <c r="F391" s="17">
        <v>45336</v>
      </c>
      <c r="G391" s="18" t="s">
        <v>41</v>
      </c>
      <c r="H391" s="18" t="s">
        <v>36</v>
      </c>
      <c r="I391" s="19" t="s">
        <v>34</v>
      </c>
      <c r="J391" s="18" t="s">
        <v>234</v>
      </c>
      <c r="K391" s="19" t="s">
        <v>848</v>
      </c>
      <c r="L391" s="14" t="s">
        <v>38</v>
      </c>
      <c r="M391" s="49"/>
    </row>
    <row r="392" spans="1:13" ht="13.5" hidden="1" customHeight="1">
      <c r="A392" s="14">
        <f t="shared" si="5"/>
        <v>385</v>
      </c>
      <c r="B392" s="15" t="s">
        <v>863</v>
      </c>
      <c r="C392" s="15"/>
      <c r="D392" s="2" t="s">
        <v>864</v>
      </c>
      <c r="E392" s="16">
        <v>3</v>
      </c>
      <c r="F392" s="17">
        <v>45336</v>
      </c>
      <c r="G392" s="18" t="s">
        <v>41</v>
      </c>
      <c r="H392" s="18" t="s">
        <v>36</v>
      </c>
      <c r="I392" s="19" t="s">
        <v>34</v>
      </c>
      <c r="J392" s="18" t="s">
        <v>234</v>
      </c>
      <c r="K392" s="19" t="s">
        <v>848</v>
      </c>
      <c r="L392" s="14" t="s">
        <v>38</v>
      </c>
      <c r="M392" s="49"/>
    </row>
    <row r="393" spans="1:13" ht="13.5" hidden="1" customHeight="1">
      <c r="A393" s="14">
        <f t="shared" si="5"/>
        <v>386</v>
      </c>
      <c r="B393" s="15" t="s">
        <v>865</v>
      </c>
      <c r="C393" s="15"/>
      <c r="D393" s="2" t="s">
        <v>866</v>
      </c>
      <c r="E393" s="16">
        <v>3</v>
      </c>
      <c r="F393" s="17">
        <v>45336</v>
      </c>
      <c r="G393" s="18" t="s">
        <v>41</v>
      </c>
      <c r="H393" s="18" t="s">
        <v>36</v>
      </c>
      <c r="I393" s="19" t="s">
        <v>34</v>
      </c>
      <c r="J393" s="18" t="s">
        <v>234</v>
      </c>
      <c r="K393" s="19" t="s">
        <v>848</v>
      </c>
      <c r="L393" s="14" t="s">
        <v>38</v>
      </c>
      <c r="M393" s="49"/>
    </row>
    <row r="394" spans="1:13" ht="13.5" hidden="1" customHeight="1">
      <c r="A394" s="14">
        <f t="shared" si="5"/>
        <v>387</v>
      </c>
      <c r="B394" s="15" t="s">
        <v>867</v>
      </c>
      <c r="C394" s="15"/>
      <c r="D394" s="2" t="s">
        <v>868</v>
      </c>
      <c r="E394" s="16">
        <v>3</v>
      </c>
      <c r="F394" s="17">
        <v>45336</v>
      </c>
      <c r="G394" s="18" t="s">
        <v>41</v>
      </c>
      <c r="H394" s="18" t="s">
        <v>36</v>
      </c>
      <c r="I394" s="19" t="s">
        <v>34</v>
      </c>
      <c r="J394" s="18" t="s">
        <v>234</v>
      </c>
      <c r="K394" s="19" t="s">
        <v>848</v>
      </c>
      <c r="L394" s="14" t="s">
        <v>38</v>
      </c>
      <c r="M394" s="49"/>
    </row>
    <row r="395" spans="1:13" ht="13.5" hidden="1" customHeight="1">
      <c r="A395" s="14">
        <f t="shared" si="5"/>
        <v>388</v>
      </c>
      <c r="B395" s="15" t="s">
        <v>869</v>
      </c>
      <c r="C395" s="15"/>
      <c r="D395" s="2" t="s">
        <v>870</v>
      </c>
      <c r="E395" s="16">
        <v>3</v>
      </c>
      <c r="F395" s="17">
        <v>45336</v>
      </c>
      <c r="G395" s="18" t="s">
        <v>41</v>
      </c>
      <c r="H395" s="18" t="s">
        <v>36</v>
      </c>
      <c r="I395" s="19" t="s">
        <v>34</v>
      </c>
      <c r="J395" s="18" t="s">
        <v>234</v>
      </c>
      <c r="K395" s="19" t="s">
        <v>848</v>
      </c>
      <c r="L395" s="14" t="s">
        <v>38</v>
      </c>
      <c r="M395" s="49"/>
    </row>
    <row r="396" spans="1:13" ht="13.5" hidden="1" customHeight="1">
      <c r="A396" s="14">
        <f t="shared" si="5"/>
        <v>389</v>
      </c>
      <c r="B396" s="15" t="s">
        <v>871</v>
      </c>
      <c r="C396" s="15"/>
      <c r="D396" s="2" t="s">
        <v>872</v>
      </c>
      <c r="E396" s="16">
        <v>3</v>
      </c>
      <c r="F396" s="17">
        <v>45336</v>
      </c>
      <c r="G396" s="18" t="s">
        <v>41</v>
      </c>
      <c r="H396" s="18" t="s">
        <v>36</v>
      </c>
      <c r="I396" s="19" t="s">
        <v>34</v>
      </c>
      <c r="J396" s="18" t="s">
        <v>234</v>
      </c>
      <c r="K396" s="19" t="s">
        <v>848</v>
      </c>
      <c r="L396" s="14" t="s">
        <v>38</v>
      </c>
      <c r="M396" s="49"/>
    </row>
    <row r="397" spans="1:13" ht="13.5" hidden="1" customHeight="1">
      <c r="A397" s="14">
        <f t="shared" si="5"/>
        <v>390</v>
      </c>
      <c r="B397" s="15" t="s">
        <v>873</v>
      </c>
      <c r="C397" s="15"/>
      <c r="D397" s="2" t="s">
        <v>874</v>
      </c>
      <c r="E397" s="16">
        <v>3</v>
      </c>
      <c r="F397" s="17">
        <v>45336</v>
      </c>
      <c r="G397" s="18" t="s">
        <v>41</v>
      </c>
      <c r="H397" s="18" t="s">
        <v>36</v>
      </c>
      <c r="I397" s="19" t="s">
        <v>34</v>
      </c>
      <c r="J397" s="18" t="s">
        <v>234</v>
      </c>
      <c r="K397" s="19" t="s">
        <v>848</v>
      </c>
      <c r="L397" s="14" t="s">
        <v>38</v>
      </c>
      <c r="M397" s="49"/>
    </row>
    <row r="398" spans="1:13" ht="13.5" hidden="1" customHeight="1">
      <c r="A398" s="14">
        <f t="shared" si="5"/>
        <v>391</v>
      </c>
      <c r="B398" s="15" t="s">
        <v>875</v>
      </c>
      <c r="C398" s="15"/>
      <c r="D398" s="2" t="s">
        <v>876</v>
      </c>
      <c r="E398" s="16">
        <v>3</v>
      </c>
      <c r="F398" s="17">
        <v>45336</v>
      </c>
      <c r="G398" s="18" t="s">
        <v>41</v>
      </c>
      <c r="H398" s="18" t="s">
        <v>36</v>
      </c>
      <c r="I398" s="19" t="s">
        <v>34</v>
      </c>
      <c r="J398" s="18" t="s">
        <v>234</v>
      </c>
      <c r="K398" s="19" t="s">
        <v>848</v>
      </c>
      <c r="L398" s="14" t="s">
        <v>38</v>
      </c>
      <c r="M398" s="49"/>
    </row>
    <row r="399" spans="1:13" ht="13.5" hidden="1" customHeight="1">
      <c r="A399" s="14">
        <f t="shared" si="5"/>
        <v>392</v>
      </c>
      <c r="B399" s="15" t="s">
        <v>877</v>
      </c>
      <c r="C399" s="15"/>
      <c r="D399" s="2" t="s">
        <v>878</v>
      </c>
      <c r="E399" s="16">
        <v>3</v>
      </c>
      <c r="F399" s="17">
        <v>45336</v>
      </c>
      <c r="G399" s="18" t="s">
        <v>41</v>
      </c>
      <c r="H399" s="18" t="s">
        <v>36</v>
      </c>
      <c r="I399" s="19" t="s">
        <v>34</v>
      </c>
      <c r="J399" s="18" t="s">
        <v>234</v>
      </c>
      <c r="K399" s="19" t="s">
        <v>848</v>
      </c>
      <c r="L399" s="14" t="s">
        <v>38</v>
      </c>
      <c r="M399" s="49"/>
    </row>
    <row r="400" spans="1:13" ht="13.5" hidden="1" customHeight="1">
      <c r="A400" s="14">
        <f t="shared" si="5"/>
        <v>393</v>
      </c>
      <c r="B400" s="15" t="s">
        <v>879</v>
      </c>
      <c r="C400" s="15"/>
      <c r="D400" s="2" t="s">
        <v>880</v>
      </c>
      <c r="E400" s="16">
        <v>3</v>
      </c>
      <c r="F400" s="17">
        <v>45336</v>
      </c>
      <c r="G400" s="18" t="s">
        <v>41</v>
      </c>
      <c r="H400" s="18" t="s">
        <v>36</v>
      </c>
      <c r="I400" s="19" t="s">
        <v>34</v>
      </c>
      <c r="J400" s="18" t="s">
        <v>234</v>
      </c>
      <c r="K400" s="19" t="s">
        <v>848</v>
      </c>
      <c r="L400" s="14" t="s">
        <v>38</v>
      </c>
      <c r="M400" s="49"/>
    </row>
    <row r="401" spans="1:13" ht="13.5" hidden="1" customHeight="1">
      <c r="A401" s="14">
        <f t="shared" si="5"/>
        <v>394</v>
      </c>
      <c r="B401" s="15" t="s">
        <v>881</v>
      </c>
      <c r="C401" s="15"/>
      <c r="D401" s="2" t="s">
        <v>882</v>
      </c>
      <c r="E401" s="16">
        <v>3</v>
      </c>
      <c r="F401" s="17">
        <v>45336</v>
      </c>
      <c r="G401" s="18" t="s">
        <v>41</v>
      </c>
      <c r="H401" s="18" t="s">
        <v>36</v>
      </c>
      <c r="I401" s="19" t="s">
        <v>34</v>
      </c>
      <c r="J401" s="18" t="s">
        <v>234</v>
      </c>
      <c r="K401" s="19" t="s">
        <v>848</v>
      </c>
      <c r="L401" s="14" t="s">
        <v>38</v>
      </c>
      <c r="M401" s="49"/>
    </row>
    <row r="402" spans="1:13" ht="13.5" hidden="1" customHeight="1">
      <c r="A402" s="14">
        <f t="shared" si="5"/>
        <v>395</v>
      </c>
      <c r="B402" s="15" t="s">
        <v>883</v>
      </c>
      <c r="C402" s="15"/>
      <c r="D402" s="2" t="s">
        <v>884</v>
      </c>
      <c r="E402" s="16">
        <v>3</v>
      </c>
      <c r="F402" s="17">
        <v>45336</v>
      </c>
      <c r="G402" s="18" t="s">
        <v>41</v>
      </c>
      <c r="H402" s="18" t="s">
        <v>36</v>
      </c>
      <c r="I402" s="19" t="s">
        <v>34</v>
      </c>
      <c r="J402" s="18" t="s">
        <v>234</v>
      </c>
      <c r="K402" s="19" t="s">
        <v>848</v>
      </c>
      <c r="L402" s="14" t="s">
        <v>38</v>
      </c>
      <c r="M402" s="49"/>
    </row>
    <row r="403" spans="1:13" ht="13.5" hidden="1" customHeight="1">
      <c r="A403" s="14">
        <f t="shared" si="5"/>
        <v>396</v>
      </c>
      <c r="B403" s="15" t="s">
        <v>885</v>
      </c>
      <c r="C403" s="15"/>
      <c r="D403" s="2" t="s">
        <v>886</v>
      </c>
      <c r="E403" s="16">
        <v>3</v>
      </c>
      <c r="F403" s="17">
        <v>45336</v>
      </c>
      <c r="G403" s="18" t="s">
        <v>41</v>
      </c>
      <c r="H403" s="18" t="s">
        <v>36</v>
      </c>
      <c r="I403" s="19" t="s">
        <v>34</v>
      </c>
      <c r="J403" s="18" t="s">
        <v>234</v>
      </c>
      <c r="K403" s="19" t="s">
        <v>848</v>
      </c>
      <c r="L403" s="14" t="s">
        <v>38</v>
      </c>
      <c r="M403" s="49"/>
    </row>
    <row r="404" spans="1:13" ht="13.5" hidden="1" customHeight="1">
      <c r="A404" s="14">
        <f t="shared" si="5"/>
        <v>397</v>
      </c>
      <c r="B404" s="15" t="s">
        <v>887</v>
      </c>
      <c r="C404" s="15"/>
      <c r="D404" s="2" t="s">
        <v>888</v>
      </c>
      <c r="E404" s="16">
        <v>3</v>
      </c>
      <c r="F404" s="17">
        <v>45336</v>
      </c>
      <c r="G404" s="18" t="s">
        <v>41</v>
      </c>
      <c r="H404" s="18" t="s">
        <v>36</v>
      </c>
      <c r="I404" s="19" t="s">
        <v>34</v>
      </c>
      <c r="J404" s="18" t="s">
        <v>234</v>
      </c>
      <c r="K404" s="19" t="s">
        <v>848</v>
      </c>
      <c r="L404" s="14" t="s">
        <v>38</v>
      </c>
      <c r="M404" s="49"/>
    </row>
    <row r="405" spans="1:13" ht="13.5" hidden="1" customHeight="1">
      <c r="A405" s="14">
        <f t="shared" si="5"/>
        <v>398</v>
      </c>
      <c r="B405" s="15" t="s">
        <v>889</v>
      </c>
      <c r="C405" s="15"/>
      <c r="D405" s="2" t="s">
        <v>890</v>
      </c>
      <c r="E405" s="16">
        <v>0</v>
      </c>
      <c r="F405" s="17">
        <v>45336</v>
      </c>
      <c r="G405" s="18" t="s">
        <v>41</v>
      </c>
      <c r="H405" s="18" t="s">
        <v>36</v>
      </c>
      <c r="I405" s="19" t="s">
        <v>34</v>
      </c>
      <c r="J405" s="18" t="s">
        <v>234</v>
      </c>
      <c r="K405" s="19" t="s">
        <v>848</v>
      </c>
      <c r="L405" s="14" t="s">
        <v>38</v>
      </c>
      <c r="M405" s="49"/>
    </row>
    <row r="406" spans="1:13" ht="13.5" hidden="1" customHeight="1">
      <c r="A406" s="14">
        <f t="shared" si="5"/>
        <v>399</v>
      </c>
      <c r="B406" s="15" t="s">
        <v>891</v>
      </c>
      <c r="C406" s="15"/>
      <c r="D406" s="2" t="s">
        <v>892</v>
      </c>
      <c r="E406" s="16">
        <v>0</v>
      </c>
      <c r="F406" s="17">
        <v>45336</v>
      </c>
      <c r="G406" s="18" t="s">
        <v>41</v>
      </c>
      <c r="H406" s="18" t="s">
        <v>36</v>
      </c>
      <c r="I406" s="19" t="s">
        <v>34</v>
      </c>
      <c r="J406" s="18" t="s">
        <v>234</v>
      </c>
      <c r="K406" s="19" t="s">
        <v>848</v>
      </c>
      <c r="L406" s="14" t="s">
        <v>38</v>
      </c>
      <c r="M406" s="49"/>
    </row>
    <row r="407" spans="1:13" ht="13.5" hidden="1" customHeight="1">
      <c r="A407" s="14">
        <f t="shared" si="5"/>
        <v>400</v>
      </c>
      <c r="B407" s="15" t="s">
        <v>893</v>
      </c>
      <c r="C407" s="15"/>
      <c r="D407" s="2" t="s">
        <v>894</v>
      </c>
      <c r="E407" s="16">
        <v>0</v>
      </c>
      <c r="F407" s="17">
        <v>45336</v>
      </c>
      <c r="G407" s="18" t="s">
        <v>41</v>
      </c>
      <c r="H407" s="18" t="s">
        <v>36</v>
      </c>
      <c r="I407" s="19" t="s">
        <v>34</v>
      </c>
      <c r="J407" s="18" t="s">
        <v>234</v>
      </c>
      <c r="K407" s="19" t="s">
        <v>848</v>
      </c>
      <c r="L407" s="14" t="s">
        <v>38</v>
      </c>
      <c r="M407" s="49"/>
    </row>
    <row r="408" spans="1:13" ht="13.5" hidden="1" customHeight="1">
      <c r="A408" s="14">
        <f t="shared" si="5"/>
        <v>401</v>
      </c>
      <c r="B408" s="15" t="s">
        <v>895</v>
      </c>
      <c r="C408" s="15"/>
      <c r="D408" s="2" t="s">
        <v>896</v>
      </c>
      <c r="E408" s="16" t="s">
        <v>34</v>
      </c>
      <c r="F408" s="17">
        <v>45336</v>
      </c>
      <c r="G408" s="18" t="s">
        <v>668</v>
      </c>
      <c r="H408" s="18" t="s">
        <v>36</v>
      </c>
      <c r="I408" s="19">
        <v>83</v>
      </c>
      <c r="J408" s="18" t="s">
        <v>234</v>
      </c>
      <c r="K408" s="19" t="s">
        <v>897</v>
      </c>
      <c r="L408" s="14" t="s">
        <v>38</v>
      </c>
      <c r="M408" s="49"/>
    </row>
    <row r="409" spans="1:13" ht="13.5" hidden="1" customHeight="1">
      <c r="A409" s="14">
        <f t="shared" si="5"/>
        <v>402</v>
      </c>
      <c r="B409" s="15" t="s">
        <v>898</v>
      </c>
      <c r="C409" s="15"/>
      <c r="D409" s="2" t="s">
        <v>899</v>
      </c>
      <c r="E409" s="16">
        <v>2</v>
      </c>
      <c r="F409" s="17">
        <v>45336</v>
      </c>
      <c r="G409" s="18" t="s">
        <v>94</v>
      </c>
      <c r="H409" s="18" t="s">
        <v>36</v>
      </c>
      <c r="I409" s="19">
        <v>31</v>
      </c>
      <c r="J409" s="18" t="s">
        <v>234</v>
      </c>
      <c r="K409" s="19" t="s">
        <v>897</v>
      </c>
      <c r="L409" s="14" t="s">
        <v>38</v>
      </c>
      <c r="M409" s="49"/>
    </row>
    <row r="410" spans="1:13" ht="13.5" hidden="1" customHeight="1">
      <c r="A410" s="20">
        <f t="shared" si="5"/>
        <v>403</v>
      </c>
      <c r="B410" s="21" t="s">
        <v>900</v>
      </c>
      <c r="C410" s="21"/>
      <c r="D410" s="1" t="s">
        <v>34</v>
      </c>
      <c r="E410" s="22"/>
      <c r="F410" s="23">
        <v>45336</v>
      </c>
      <c r="G410" s="24" t="s">
        <v>633</v>
      </c>
      <c r="H410" s="24" t="s">
        <v>634</v>
      </c>
      <c r="I410" s="25" t="s">
        <v>34</v>
      </c>
      <c r="J410" s="24" t="s">
        <v>34</v>
      </c>
      <c r="K410" s="25" t="s">
        <v>901</v>
      </c>
      <c r="L410" s="20" t="s">
        <v>38</v>
      </c>
      <c r="M410" s="49"/>
    </row>
    <row r="411" spans="1:13" ht="13.5" hidden="1" customHeight="1">
      <c r="A411" s="20">
        <f t="shared" si="5"/>
        <v>404</v>
      </c>
      <c r="B411" s="21" t="s">
        <v>902</v>
      </c>
      <c r="C411" s="21"/>
      <c r="D411" s="1" t="s">
        <v>34</v>
      </c>
      <c r="E411" s="22"/>
      <c r="F411" s="23">
        <v>45336</v>
      </c>
      <c r="G411" s="24" t="s">
        <v>633</v>
      </c>
      <c r="H411" s="24" t="s">
        <v>634</v>
      </c>
      <c r="I411" s="25" t="s">
        <v>34</v>
      </c>
      <c r="J411" s="24" t="s">
        <v>34</v>
      </c>
      <c r="K411" s="25" t="s">
        <v>901</v>
      </c>
      <c r="L411" s="20" t="s">
        <v>38</v>
      </c>
      <c r="M411" s="49"/>
    </row>
    <row r="412" spans="1:13" ht="13.5" hidden="1" customHeight="1">
      <c r="A412" s="14">
        <f t="shared" si="5"/>
        <v>405</v>
      </c>
      <c r="B412" s="15" t="s">
        <v>903</v>
      </c>
      <c r="C412" s="15"/>
      <c r="D412" s="2" t="s">
        <v>904</v>
      </c>
      <c r="E412" s="16">
        <v>2</v>
      </c>
      <c r="F412" s="17">
        <v>45336</v>
      </c>
      <c r="G412" s="18" t="s">
        <v>152</v>
      </c>
      <c r="H412" s="18" t="s">
        <v>36</v>
      </c>
      <c r="I412" s="19">
        <v>39</v>
      </c>
      <c r="J412" s="18" t="s">
        <v>234</v>
      </c>
      <c r="K412" s="19" t="s">
        <v>905</v>
      </c>
      <c r="L412" s="14" t="s">
        <v>38</v>
      </c>
      <c r="M412" s="49"/>
    </row>
    <row r="413" spans="1:13" ht="13.5" hidden="1" customHeight="1">
      <c r="A413" s="20">
        <f t="shared" si="5"/>
        <v>406</v>
      </c>
      <c r="B413" s="21" t="s">
        <v>906</v>
      </c>
      <c r="C413" s="21"/>
      <c r="D413" s="1" t="s">
        <v>34</v>
      </c>
      <c r="E413" s="22"/>
      <c r="F413" s="23">
        <v>45336</v>
      </c>
      <c r="G413" s="24" t="s">
        <v>633</v>
      </c>
      <c r="H413" s="24" t="s">
        <v>634</v>
      </c>
      <c r="I413" s="25" t="s">
        <v>34</v>
      </c>
      <c r="J413" s="24" t="s">
        <v>34</v>
      </c>
      <c r="K413" s="25" t="s">
        <v>907</v>
      </c>
      <c r="L413" s="20" t="s">
        <v>38</v>
      </c>
      <c r="M413" s="49"/>
    </row>
    <row r="414" spans="1:13" ht="13.5" hidden="1" customHeight="1">
      <c r="A414" s="20">
        <f t="shared" si="5"/>
        <v>407</v>
      </c>
      <c r="B414" s="21" t="s">
        <v>908</v>
      </c>
      <c r="C414" s="21"/>
      <c r="D414" s="1" t="s">
        <v>34</v>
      </c>
      <c r="E414" s="22"/>
      <c r="F414" s="23">
        <v>45336</v>
      </c>
      <c r="G414" s="24" t="s">
        <v>633</v>
      </c>
      <c r="H414" s="24" t="s">
        <v>634</v>
      </c>
      <c r="I414" s="25" t="s">
        <v>34</v>
      </c>
      <c r="J414" s="24" t="s">
        <v>34</v>
      </c>
      <c r="K414" s="25" t="s">
        <v>909</v>
      </c>
      <c r="L414" s="20" t="s">
        <v>38</v>
      </c>
      <c r="M414" s="49"/>
    </row>
    <row r="415" spans="1:13" ht="13.5" hidden="1" customHeight="1">
      <c r="A415" s="26">
        <f t="shared" si="5"/>
        <v>408</v>
      </c>
      <c r="B415" s="27" t="s">
        <v>903</v>
      </c>
      <c r="C415" s="27"/>
      <c r="D415" s="28" t="s">
        <v>904</v>
      </c>
      <c r="E415" s="29">
        <v>2</v>
      </c>
      <c r="F415" s="30">
        <v>45336</v>
      </c>
      <c r="G415" s="31" t="s">
        <v>152</v>
      </c>
      <c r="H415" s="31" t="s">
        <v>36</v>
      </c>
      <c r="I415" s="32">
        <v>39</v>
      </c>
      <c r="J415" s="31" t="s">
        <v>234</v>
      </c>
      <c r="K415" s="32" t="s">
        <v>910</v>
      </c>
      <c r="L415" s="14" t="s">
        <v>38</v>
      </c>
      <c r="M415" s="49"/>
    </row>
    <row r="416" spans="1:13" ht="13.5" hidden="1" customHeight="1">
      <c r="A416" s="20">
        <f t="shared" si="5"/>
        <v>409</v>
      </c>
      <c r="B416" s="21" t="s">
        <v>911</v>
      </c>
      <c r="C416" s="21"/>
      <c r="D416" s="1" t="s">
        <v>34</v>
      </c>
      <c r="E416" s="22"/>
      <c r="F416" s="23">
        <v>45336</v>
      </c>
      <c r="G416" s="24" t="s">
        <v>633</v>
      </c>
      <c r="H416" s="24" t="s">
        <v>634</v>
      </c>
      <c r="I416" s="25" t="s">
        <v>34</v>
      </c>
      <c r="J416" s="24" t="s">
        <v>34</v>
      </c>
      <c r="K416" s="25" t="s">
        <v>912</v>
      </c>
      <c r="L416" s="20" t="s">
        <v>38</v>
      </c>
      <c r="M416" s="49"/>
    </row>
    <row r="417" spans="1:13" ht="13.5" hidden="1" customHeight="1">
      <c r="A417" s="20">
        <f t="shared" si="5"/>
        <v>410</v>
      </c>
      <c r="B417" s="21" t="s">
        <v>913</v>
      </c>
      <c r="C417" s="21"/>
      <c r="D417" s="1" t="s">
        <v>34</v>
      </c>
      <c r="E417" s="22"/>
      <c r="F417" s="23">
        <v>45336</v>
      </c>
      <c r="G417" s="24" t="s">
        <v>633</v>
      </c>
      <c r="H417" s="24" t="s">
        <v>634</v>
      </c>
      <c r="I417" s="25" t="s">
        <v>34</v>
      </c>
      <c r="J417" s="24" t="s">
        <v>34</v>
      </c>
      <c r="K417" s="25" t="s">
        <v>912</v>
      </c>
      <c r="L417" s="20" t="s">
        <v>38</v>
      </c>
      <c r="M417" s="49"/>
    </row>
    <row r="418" spans="1:13" ht="13.5" hidden="1" customHeight="1">
      <c r="A418" s="20">
        <f t="shared" si="5"/>
        <v>411</v>
      </c>
      <c r="B418" s="21" t="s">
        <v>914</v>
      </c>
      <c r="C418" s="21"/>
      <c r="D418" s="1" t="s">
        <v>34</v>
      </c>
      <c r="E418" s="22"/>
      <c r="F418" s="23">
        <v>45336</v>
      </c>
      <c r="G418" s="24" t="s">
        <v>633</v>
      </c>
      <c r="H418" s="24" t="s">
        <v>634</v>
      </c>
      <c r="I418" s="25" t="s">
        <v>34</v>
      </c>
      <c r="J418" s="24" t="s">
        <v>34</v>
      </c>
      <c r="K418" s="25" t="s">
        <v>912</v>
      </c>
      <c r="L418" s="20" t="s">
        <v>38</v>
      </c>
      <c r="M418" s="49"/>
    </row>
    <row r="419" spans="1:13" ht="13.5" hidden="1" customHeight="1">
      <c r="A419" s="20">
        <f t="shared" si="5"/>
        <v>412</v>
      </c>
      <c r="B419" s="21" t="s">
        <v>915</v>
      </c>
      <c r="C419" s="21"/>
      <c r="D419" s="1" t="s">
        <v>34</v>
      </c>
      <c r="E419" s="22"/>
      <c r="F419" s="23">
        <v>45336</v>
      </c>
      <c r="G419" s="24" t="s">
        <v>633</v>
      </c>
      <c r="H419" s="24" t="s">
        <v>634</v>
      </c>
      <c r="I419" s="25" t="s">
        <v>34</v>
      </c>
      <c r="J419" s="24" t="s">
        <v>34</v>
      </c>
      <c r="K419" s="25" t="s">
        <v>912</v>
      </c>
      <c r="L419" s="20" t="s">
        <v>38</v>
      </c>
      <c r="M419" s="49"/>
    </row>
    <row r="420" spans="1:13" ht="13.5" hidden="1" customHeight="1">
      <c r="A420" s="20">
        <f t="shared" si="5"/>
        <v>413</v>
      </c>
      <c r="B420" s="21" t="s">
        <v>916</v>
      </c>
      <c r="C420" s="21"/>
      <c r="D420" s="1" t="s">
        <v>34</v>
      </c>
      <c r="E420" s="22"/>
      <c r="F420" s="23">
        <v>45336</v>
      </c>
      <c r="G420" s="24" t="s">
        <v>633</v>
      </c>
      <c r="H420" s="24" t="s">
        <v>634</v>
      </c>
      <c r="I420" s="25" t="s">
        <v>34</v>
      </c>
      <c r="J420" s="24" t="s">
        <v>34</v>
      </c>
      <c r="K420" s="25" t="s">
        <v>912</v>
      </c>
      <c r="L420" s="20" t="s">
        <v>38</v>
      </c>
      <c r="M420" s="49"/>
    </row>
    <row r="421" spans="1:13" ht="13.5" hidden="1" customHeight="1">
      <c r="A421" s="14">
        <f t="shared" si="5"/>
        <v>414</v>
      </c>
      <c r="B421" s="15" t="s">
        <v>917</v>
      </c>
      <c r="C421" s="15"/>
      <c r="D421" s="2" t="s">
        <v>918</v>
      </c>
      <c r="E421" s="16">
        <v>1</v>
      </c>
      <c r="F421" s="17">
        <v>45336</v>
      </c>
      <c r="G421" s="18" t="s">
        <v>686</v>
      </c>
      <c r="H421" s="18" t="s">
        <v>36</v>
      </c>
      <c r="I421" s="19">
        <v>8</v>
      </c>
      <c r="J421" s="18" t="s">
        <v>234</v>
      </c>
      <c r="K421" s="19" t="s">
        <v>919</v>
      </c>
      <c r="L421" s="14" t="s">
        <v>38</v>
      </c>
      <c r="M421" s="49"/>
    </row>
    <row r="422" spans="1:13" ht="13.5" hidden="1" customHeight="1">
      <c r="A422" s="20">
        <f t="shared" si="5"/>
        <v>415</v>
      </c>
      <c r="B422" s="21" t="s">
        <v>920</v>
      </c>
      <c r="C422" s="21"/>
      <c r="D422" s="1" t="s">
        <v>34</v>
      </c>
      <c r="E422" s="22"/>
      <c r="F422" s="23">
        <v>45336</v>
      </c>
      <c r="G422" s="24" t="s">
        <v>633</v>
      </c>
      <c r="H422" s="24" t="s">
        <v>634</v>
      </c>
      <c r="I422" s="25" t="s">
        <v>34</v>
      </c>
      <c r="J422" s="24" t="s">
        <v>34</v>
      </c>
      <c r="K422" s="25" t="s">
        <v>921</v>
      </c>
      <c r="L422" s="20" t="s">
        <v>38</v>
      </c>
      <c r="M422" s="49"/>
    </row>
    <row r="423" spans="1:13" ht="13.5" hidden="1" customHeight="1">
      <c r="A423" s="20">
        <f t="shared" si="5"/>
        <v>416</v>
      </c>
      <c r="B423" s="21" t="s">
        <v>922</v>
      </c>
      <c r="C423" s="21"/>
      <c r="D423" s="1" t="s">
        <v>34</v>
      </c>
      <c r="E423" s="22"/>
      <c r="F423" s="23">
        <v>45336</v>
      </c>
      <c r="G423" s="24" t="s">
        <v>633</v>
      </c>
      <c r="H423" s="24" t="s">
        <v>634</v>
      </c>
      <c r="I423" s="25" t="s">
        <v>34</v>
      </c>
      <c r="J423" s="24" t="s">
        <v>34</v>
      </c>
      <c r="K423" s="25" t="s">
        <v>921</v>
      </c>
      <c r="L423" s="20" t="s">
        <v>38</v>
      </c>
      <c r="M423" s="49"/>
    </row>
    <row r="424" spans="1:13" ht="13.5" hidden="1" customHeight="1">
      <c r="A424" s="20">
        <f t="shared" si="5"/>
        <v>417</v>
      </c>
      <c r="B424" s="21" t="s">
        <v>923</v>
      </c>
      <c r="C424" s="21"/>
      <c r="D424" s="1" t="s">
        <v>34</v>
      </c>
      <c r="E424" s="22"/>
      <c r="F424" s="23">
        <v>45336</v>
      </c>
      <c r="G424" s="24" t="s">
        <v>633</v>
      </c>
      <c r="H424" s="24" t="s">
        <v>634</v>
      </c>
      <c r="I424" s="25" t="s">
        <v>34</v>
      </c>
      <c r="J424" s="24" t="s">
        <v>34</v>
      </c>
      <c r="K424" s="25" t="s">
        <v>921</v>
      </c>
      <c r="L424" s="20" t="s">
        <v>38</v>
      </c>
      <c r="M424" s="49"/>
    </row>
    <row r="425" spans="1:13" ht="13.5" hidden="1" customHeight="1">
      <c r="A425" s="20">
        <f t="shared" si="5"/>
        <v>418</v>
      </c>
      <c r="B425" s="21" t="s">
        <v>924</v>
      </c>
      <c r="C425" s="21"/>
      <c r="D425" s="1" t="s">
        <v>34</v>
      </c>
      <c r="E425" s="22"/>
      <c r="F425" s="23">
        <v>45336</v>
      </c>
      <c r="G425" s="24" t="s">
        <v>633</v>
      </c>
      <c r="H425" s="24" t="s">
        <v>634</v>
      </c>
      <c r="I425" s="25" t="s">
        <v>34</v>
      </c>
      <c r="J425" s="24" t="s">
        <v>34</v>
      </c>
      <c r="K425" s="25" t="s">
        <v>921</v>
      </c>
      <c r="L425" s="20" t="s">
        <v>38</v>
      </c>
      <c r="M425" s="49"/>
    </row>
    <row r="426" spans="1:13" ht="13.5" hidden="1" customHeight="1">
      <c r="A426" s="20">
        <f t="shared" si="5"/>
        <v>419</v>
      </c>
      <c r="B426" s="21" t="s">
        <v>925</v>
      </c>
      <c r="C426" s="21"/>
      <c r="D426" s="1" t="s">
        <v>34</v>
      </c>
      <c r="E426" s="22"/>
      <c r="F426" s="23">
        <v>45336</v>
      </c>
      <c r="G426" s="24" t="s">
        <v>633</v>
      </c>
      <c r="H426" s="24" t="s">
        <v>634</v>
      </c>
      <c r="I426" s="25" t="s">
        <v>34</v>
      </c>
      <c r="J426" s="24" t="s">
        <v>34</v>
      </c>
      <c r="K426" s="25" t="s">
        <v>921</v>
      </c>
      <c r="L426" s="20" t="s">
        <v>38</v>
      </c>
      <c r="M426" s="49"/>
    </row>
    <row r="427" spans="1:13" ht="13.5" hidden="1" customHeight="1">
      <c r="A427" s="20">
        <f t="shared" si="5"/>
        <v>420</v>
      </c>
      <c r="B427" s="21" t="s">
        <v>926</v>
      </c>
      <c r="C427" s="21"/>
      <c r="D427" s="1" t="s">
        <v>34</v>
      </c>
      <c r="E427" s="22"/>
      <c r="F427" s="23">
        <v>45336</v>
      </c>
      <c r="G427" s="24" t="s">
        <v>633</v>
      </c>
      <c r="H427" s="24" t="s">
        <v>634</v>
      </c>
      <c r="I427" s="25" t="s">
        <v>34</v>
      </c>
      <c r="J427" s="24" t="s">
        <v>34</v>
      </c>
      <c r="K427" s="25" t="s">
        <v>921</v>
      </c>
      <c r="L427" s="20" t="s">
        <v>38</v>
      </c>
      <c r="M427" s="49"/>
    </row>
    <row r="428" spans="1:13" ht="13.5" hidden="1" customHeight="1">
      <c r="A428" s="20">
        <f t="shared" si="5"/>
        <v>421</v>
      </c>
      <c r="B428" s="21" t="s">
        <v>927</v>
      </c>
      <c r="C428" s="21"/>
      <c r="D428" s="1" t="s">
        <v>34</v>
      </c>
      <c r="E428" s="22"/>
      <c r="F428" s="23">
        <v>45336</v>
      </c>
      <c r="G428" s="24" t="s">
        <v>633</v>
      </c>
      <c r="H428" s="24" t="s">
        <v>634</v>
      </c>
      <c r="I428" s="25" t="s">
        <v>34</v>
      </c>
      <c r="J428" s="24" t="s">
        <v>34</v>
      </c>
      <c r="K428" s="25" t="s">
        <v>921</v>
      </c>
      <c r="L428" s="20" t="s">
        <v>38</v>
      </c>
      <c r="M428" s="49"/>
    </row>
    <row r="429" spans="1:13" ht="13.5" hidden="1" customHeight="1">
      <c r="A429" s="20">
        <f t="shared" si="5"/>
        <v>422</v>
      </c>
      <c r="B429" s="21" t="s">
        <v>928</v>
      </c>
      <c r="C429" s="21"/>
      <c r="D429" s="1" t="s">
        <v>34</v>
      </c>
      <c r="E429" s="22"/>
      <c r="F429" s="23">
        <v>45336</v>
      </c>
      <c r="G429" s="24" t="s">
        <v>633</v>
      </c>
      <c r="H429" s="24" t="s">
        <v>634</v>
      </c>
      <c r="I429" s="25" t="s">
        <v>34</v>
      </c>
      <c r="J429" s="24" t="s">
        <v>34</v>
      </c>
      <c r="K429" s="25" t="s">
        <v>921</v>
      </c>
      <c r="L429" s="20" t="s">
        <v>38</v>
      </c>
      <c r="M429" s="49"/>
    </row>
    <row r="430" spans="1:13" ht="13.5" hidden="1" customHeight="1">
      <c r="A430" s="20">
        <f t="shared" si="5"/>
        <v>423</v>
      </c>
      <c r="B430" s="21" t="s">
        <v>929</v>
      </c>
      <c r="C430" s="21"/>
      <c r="D430" s="1" t="s">
        <v>34</v>
      </c>
      <c r="E430" s="22"/>
      <c r="F430" s="23">
        <v>45336</v>
      </c>
      <c r="G430" s="24" t="s">
        <v>633</v>
      </c>
      <c r="H430" s="24" t="s">
        <v>634</v>
      </c>
      <c r="I430" s="25" t="s">
        <v>34</v>
      </c>
      <c r="J430" s="24" t="s">
        <v>34</v>
      </c>
      <c r="K430" s="25" t="s">
        <v>921</v>
      </c>
      <c r="L430" s="20" t="s">
        <v>38</v>
      </c>
      <c r="M430" s="49"/>
    </row>
    <row r="431" spans="1:13" ht="13.5" hidden="1" customHeight="1">
      <c r="A431" s="20">
        <f t="shared" si="5"/>
        <v>424</v>
      </c>
      <c r="B431" s="21" t="s">
        <v>930</v>
      </c>
      <c r="C431" s="21"/>
      <c r="D431" s="1" t="s">
        <v>34</v>
      </c>
      <c r="E431" s="22"/>
      <c r="F431" s="23">
        <v>45336</v>
      </c>
      <c r="G431" s="24" t="s">
        <v>633</v>
      </c>
      <c r="H431" s="24" t="s">
        <v>634</v>
      </c>
      <c r="I431" s="25" t="s">
        <v>34</v>
      </c>
      <c r="J431" s="24" t="s">
        <v>34</v>
      </c>
      <c r="K431" s="25" t="s">
        <v>931</v>
      </c>
      <c r="L431" s="20" t="s">
        <v>38</v>
      </c>
      <c r="M431" s="49"/>
    </row>
    <row r="432" spans="1:13" ht="13.5" hidden="1" customHeight="1">
      <c r="A432" s="20">
        <f t="shared" si="5"/>
        <v>425</v>
      </c>
      <c r="B432" s="21" t="s">
        <v>932</v>
      </c>
      <c r="C432" s="21"/>
      <c r="D432" s="1" t="s">
        <v>34</v>
      </c>
      <c r="E432" s="22"/>
      <c r="F432" s="23">
        <v>45336</v>
      </c>
      <c r="G432" s="24" t="s">
        <v>633</v>
      </c>
      <c r="H432" s="24" t="s">
        <v>634</v>
      </c>
      <c r="I432" s="25" t="s">
        <v>34</v>
      </c>
      <c r="J432" s="24" t="s">
        <v>34</v>
      </c>
      <c r="K432" s="25" t="s">
        <v>933</v>
      </c>
      <c r="L432" s="20" t="s">
        <v>38</v>
      </c>
      <c r="M432" s="49"/>
    </row>
    <row r="433" spans="1:13" ht="13.5" hidden="1" customHeight="1">
      <c r="A433" s="20">
        <f t="shared" si="5"/>
        <v>426</v>
      </c>
      <c r="B433" s="21" t="s">
        <v>934</v>
      </c>
      <c r="C433" s="21"/>
      <c r="D433" s="1" t="s">
        <v>34</v>
      </c>
      <c r="E433" s="22"/>
      <c r="F433" s="23">
        <v>45336</v>
      </c>
      <c r="G433" s="24" t="s">
        <v>633</v>
      </c>
      <c r="H433" s="24" t="s">
        <v>634</v>
      </c>
      <c r="I433" s="25" t="s">
        <v>34</v>
      </c>
      <c r="J433" s="24" t="s">
        <v>34</v>
      </c>
      <c r="K433" s="25" t="s">
        <v>933</v>
      </c>
      <c r="L433" s="20" t="s">
        <v>38</v>
      </c>
      <c r="M433" s="49"/>
    </row>
    <row r="434" spans="1:13" ht="13.5" hidden="1" customHeight="1">
      <c r="A434" s="20">
        <f t="shared" si="5"/>
        <v>427</v>
      </c>
      <c r="B434" s="21" t="s">
        <v>935</v>
      </c>
      <c r="C434" s="21"/>
      <c r="D434" s="1" t="s">
        <v>34</v>
      </c>
      <c r="E434" s="22"/>
      <c r="F434" s="23">
        <v>45336</v>
      </c>
      <c r="G434" s="24" t="s">
        <v>633</v>
      </c>
      <c r="H434" s="24" t="s">
        <v>634</v>
      </c>
      <c r="I434" s="25" t="s">
        <v>34</v>
      </c>
      <c r="J434" s="24" t="s">
        <v>34</v>
      </c>
      <c r="K434" s="25" t="s">
        <v>933</v>
      </c>
      <c r="L434" s="20" t="s">
        <v>38</v>
      </c>
      <c r="M434" s="49"/>
    </row>
    <row r="435" spans="1:13" ht="13.5" hidden="1" customHeight="1">
      <c r="A435" s="20">
        <f t="shared" si="5"/>
        <v>428</v>
      </c>
      <c r="B435" s="21" t="s">
        <v>936</v>
      </c>
      <c r="C435" s="21"/>
      <c r="D435" s="1" t="s">
        <v>34</v>
      </c>
      <c r="E435" s="22"/>
      <c r="F435" s="23">
        <v>45336</v>
      </c>
      <c r="G435" s="24" t="s">
        <v>633</v>
      </c>
      <c r="H435" s="24" t="s">
        <v>634</v>
      </c>
      <c r="I435" s="25" t="s">
        <v>34</v>
      </c>
      <c r="J435" s="24" t="s">
        <v>34</v>
      </c>
      <c r="K435" s="25" t="s">
        <v>933</v>
      </c>
      <c r="L435" s="20" t="s">
        <v>38</v>
      </c>
      <c r="M435" s="49"/>
    </row>
    <row r="436" spans="1:13" ht="13.5" hidden="1" customHeight="1">
      <c r="A436" s="20">
        <f t="shared" si="5"/>
        <v>429</v>
      </c>
      <c r="B436" s="21" t="s">
        <v>937</v>
      </c>
      <c r="C436" s="21"/>
      <c r="D436" s="1" t="s">
        <v>34</v>
      </c>
      <c r="E436" s="22"/>
      <c r="F436" s="23">
        <v>45336</v>
      </c>
      <c r="G436" s="24" t="s">
        <v>633</v>
      </c>
      <c r="H436" s="24" t="s">
        <v>634</v>
      </c>
      <c r="I436" s="25" t="s">
        <v>34</v>
      </c>
      <c r="J436" s="24" t="s">
        <v>34</v>
      </c>
      <c r="K436" s="25" t="s">
        <v>933</v>
      </c>
      <c r="L436" s="20" t="s">
        <v>38</v>
      </c>
      <c r="M436" s="49"/>
    </row>
    <row r="437" spans="1:13" ht="13.5" hidden="1" customHeight="1">
      <c r="A437" s="20">
        <f t="shared" si="5"/>
        <v>430</v>
      </c>
      <c r="B437" s="21" t="s">
        <v>938</v>
      </c>
      <c r="C437" s="21"/>
      <c r="D437" s="1" t="s">
        <v>34</v>
      </c>
      <c r="E437" s="22"/>
      <c r="F437" s="23">
        <v>45336</v>
      </c>
      <c r="G437" s="24" t="s">
        <v>633</v>
      </c>
      <c r="H437" s="24" t="s">
        <v>634</v>
      </c>
      <c r="I437" s="25" t="s">
        <v>34</v>
      </c>
      <c r="J437" s="24" t="s">
        <v>34</v>
      </c>
      <c r="K437" s="25" t="s">
        <v>933</v>
      </c>
      <c r="L437" s="20" t="s">
        <v>38</v>
      </c>
      <c r="M437" s="49"/>
    </row>
    <row r="438" spans="1:13" ht="13.5" hidden="1" customHeight="1">
      <c r="A438" s="20">
        <f t="shared" si="5"/>
        <v>431</v>
      </c>
      <c r="B438" s="21" t="s">
        <v>939</v>
      </c>
      <c r="C438" s="21"/>
      <c r="D438" s="1" t="s">
        <v>34</v>
      </c>
      <c r="E438" s="22"/>
      <c r="F438" s="23">
        <v>45336</v>
      </c>
      <c r="G438" s="24" t="s">
        <v>633</v>
      </c>
      <c r="H438" s="24" t="s">
        <v>634</v>
      </c>
      <c r="I438" s="25" t="s">
        <v>34</v>
      </c>
      <c r="J438" s="24" t="s">
        <v>34</v>
      </c>
      <c r="K438" s="25" t="s">
        <v>933</v>
      </c>
      <c r="L438" s="20" t="s">
        <v>38</v>
      </c>
      <c r="M438" s="49"/>
    </row>
    <row r="439" spans="1:13" ht="13.5" hidden="1" customHeight="1">
      <c r="A439" s="20">
        <f t="shared" si="5"/>
        <v>432</v>
      </c>
      <c r="B439" s="21" t="s">
        <v>940</v>
      </c>
      <c r="C439" s="21"/>
      <c r="D439" s="1" t="s">
        <v>34</v>
      </c>
      <c r="E439" s="22"/>
      <c r="F439" s="23">
        <v>45336</v>
      </c>
      <c r="G439" s="24" t="s">
        <v>633</v>
      </c>
      <c r="H439" s="24" t="s">
        <v>634</v>
      </c>
      <c r="I439" s="25" t="s">
        <v>34</v>
      </c>
      <c r="J439" s="24" t="s">
        <v>34</v>
      </c>
      <c r="K439" s="25" t="s">
        <v>933</v>
      </c>
      <c r="L439" s="20" t="s">
        <v>38</v>
      </c>
      <c r="M439" s="49"/>
    </row>
    <row r="440" spans="1:13" ht="13.5" hidden="1" customHeight="1">
      <c r="A440" s="14">
        <f t="shared" si="5"/>
        <v>433</v>
      </c>
      <c r="B440" s="15" t="s">
        <v>941</v>
      </c>
      <c r="C440" s="15"/>
      <c r="D440" s="2" t="s">
        <v>942</v>
      </c>
      <c r="E440" s="16">
        <v>1</v>
      </c>
      <c r="F440" s="17">
        <v>45336</v>
      </c>
      <c r="G440" s="18" t="s">
        <v>686</v>
      </c>
      <c r="H440" s="18" t="s">
        <v>36</v>
      </c>
      <c r="I440" s="19">
        <v>3</v>
      </c>
      <c r="J440" s="18" t="s">
        <v>234</v>
      </c>
      <c r="K440" s="19" t="s">
        <v>943</v>
      </c>
      <c r="L440" s="14" t="s">
        <v>38</v>
      </c>
      <c r="M440" s="49"/>
    </row>
    <row r="441" spans="1:13" ht="13.5" hidden="1" customHeight="1">
      <c r="A441" s="20">
        <f t="shared" si="5"/>
        <v>434</v>
      </c>
      <c r="B441" s="21" t="s">
        <v>944</v>
      </c>
      <c r="C441" s="21"/>
      <c r="D441" s="1" t="s">
        <v>34</v>
      </c>
      <c r="E441" s="22"/>
      <c r="F441" s="23">
        <v>45336</v>
      </c>
      <c r="G441" s="24" t="s">
        <v>633</v>
      </c>
      <c r="H441" s="24" t="s">
        <v>634</v>
      </c>
      <c r="I441" s="25" t="s">
        <v>34</v>
      </c>
      <c r="J441" s="24" t="s">
        <v>34</v>
      </c>
      <c r="K441" s="25" t="s">
        <v>943</v>
      </c>
      <c r="L441" s="20" t="s">
        <v>38</v>
      </c>
      <c r="M441" s="49"/>
    </row>
    <row r="442" spans="1:13" ht="13.5" hidden="1" customHeight="1">
      <c r="A442" s="20">
        <f t="shared" si="5"/>
        <v>435</v>
      </c>
      <c r="B442" s="21" t="s">
        <v>945</v>
      </c>
      <c r="C442" s="21"/>
      <c r="D442" s="1" t="s">
        <v>34</v>
      </c>
      <c r="E442" s="22"/>
      <c r="F442" s="23">
        <v>45336</v>
      </c>
      <c r="G442" s="24" t="s">
        <v>633</v>
      </c>
      <c r="H442" s="24" t="s">
        <v>634</v>
      </c>
      <c r="I442" s="25" t="s">
        <v>34</v>
      </c>
      <c r="J442" s="24" t="s">
        <v>34</v>
      </c>
      <c r="K442" s="25" t="s">
        <v>943</v>
      </c>
      <c r="L442" s="20" t="s">
        <v>38</v>
      </c>
      <c r="M442" s="49"/>
    </row>
    <row r="443" spans="1:13" ht="13.5" hidden="1" customHeight="1">
      <c r="A443" s="20">
        <f t="shared" si="5"/>
        <v>436</v>
      </c>
      <c r="B443" s="21" t="s">
        <v>946</v>
      </c>
      <c r="C443" s="21"/>
      <c r="D443" s="1" t="s">
        <v>34</v>
      </c>
      <c r="E443" s="22"/>
      <c r="F443" s="23">
        <v>45336</v>
      </c>
      <c r="G443" s="24" t="s">
        <v>633</v>
      </c>
      <c r="H443" s="24" t="s">
        <v>634</v>
      </c>
      <c r="I443" s="25" t="s">
        <v>34</v>
      </c>
      <c r="J443" s="24" t="s">
        <v>34</v>
      </c>
      <c r="K443" s="25" t="s">
        <v>947</v>
      </c>
      <c r="L443" s="20" t="s">
        <v>38</v>
      </c>
      <c r="M443" s="49"/>
    </row>
    <row r="444" spans="1:13" ht="13.5" hidden="1" customHeight="1">
      <c r="A444" s="20">
        <f t="shared" si="5"/>
        <v>437</v>
      </c>
      <c r="B444" s="21" t="s">
        <v>948</v>
      </c>
      <c r="C444" s="21"/>
      <c r="D444" s="1" t="s">
        <v>34</v>
      </c>
      <c r="E444" s="22"/>
      <c r="F444" s="23">
        <v>45336</v>
      </c>
      <c r="G444" s="24" t="s">
        <v>633</v>
      </c>
      <c r="H444" s="24" t="s">
        <v>634</v>
      </c>
      <c r="I444" s="25" t="s">
        <v>34</v>
      </c>
      <c r="J444" s="24" t="s">
        <v>34</v>
      </c>
      <c r="K444" s="25" t="s">
        <v>949</v>
      </c>
      <c r="L444" s="20" t="s">
        <v>38</v>
      </c>
      <c r="M444" s="49"/>
    </row>
    <row r="445" spans="1:13" ht="13.5" hidden="1" customHeight="1">
      <c r="A445" s="20">
        <f t="shared" si="5"/>
        <v>438</v>
      </c>
      <c r="B445" s="21" t="s">
        <v>950</v>
      </c>
      <c r="C445" s="21"/>
      <c r="D445" s="1" t="s">
        <v>34</v>
      </c>
      <c r="E445" s="22"/>
      <c r="F445" s="23">
        <v>45336</v>
      </c>
      <c r="G445" s="24" t="s">
        <v>633</v>
      </c>
      <c r="H445" s="24" t="s">
        <v>634</v>
      </c>
      <c r="I445" s="25" t="s">
        <v>34</v>
      </c>
      <c r="J445" s="24" t="s">
        <v>34</v>
      </c>
      <c r="K445" s="25" t="s">
        <v>951</v>
      </c>
      <c r="L445" s="20" t="s">
        <v>38</v>
      </c>
      <c r="M445" s="49"/>
    </row>
    <row r="446" spans="1:13" ht="13.5" hidden="1" customHeight="1">
      <c r="A446" s="20">
        <f t="shared" si="5"/>
        <v>439</v>
      </c>
      <c r="B446" s="21" t="s">
        <v>952</v>
      </c>
      <c r="C446" s="21"/>
      <c r="D446" s="1" t="s">
        <v>34</v>
      </c>
      <c r="E446" s="22"/>
      <c r="F446" s="23">
        <v>45336</v>
      </c>
      <c r="G446" s="24" t="s">
        <v>633</v>
      </c>
      <c r="H446" s="24" t="s">
        <v>634</v>
      </c>
      <c r="I446" s="25" t="s">
        <v>34</v>
      </c>
      <c r="J446" s="24" t="s">
        <v>34</v>
      </c>
      <c r="K446" s="25" t="s">
        <v>953</v>
      </c>
      <c r="L446" s="20" t="s">
        <v>38</v>
      </c>
      <c r="M446" s="49"/>
    </row>
    <row r="447" spans="1:13" ht="13.5" hidden="1" customHeight="1">
      <c r="A447" s="20">
        <f t="shared" si="5"/>
        <v>440</v>
      </c>
      <c r="B447" s="21" t="s">
        <v>954</v>
      </c>
      <c r="C447" s="21"/>
      <c r="D447" s="1" t="s">
        <v>34</v>
      </c>
      <c r="E447" s="22"/>
      <c r="F447" s="23">
        <v>45336</v>
      </c>
      <c r="G447" s="24" t="s">
        <v>633</v>
      </c>
      <c r="H447" s="24" t="s">
        <v>634</v>
      </c>
      <c r="I447" s="25" t="s">
        <v>34</v>
      </c>
      <c r="J447" s="24" t="s">
        <v>34</v>
      </c>
      <c r="K447" s="25" t="s">
        <v>955</v>
      </c>
      <c r="L447" s="20" t="s">
        <v>38</v>
      </c>
      <c r="M447" s="49"/>
    </row>
    <row r="448" spans="1:13" ht="13.5" hidden="1" customHeight="1">
      <c r="A448" s="14">
        <f t="shared" si="5"/>
        <v>441</v>
      </c>
      <c r="B448" s="15" t="s">
        <v>956</v>
      </c>
      <c r="C448" s="15"/>
      <c r="D448" s="2" t="s">
        <v>957</v>
      </c>
      <c r="E448" s="16">
        <v>3</v>
      </c>
      <c r="F448" s="17">
        <v>45336</v>
      </c>
      <c r="G448" s="18" t="s">
        <v>41</v>
      </c>
      <c r="H448" s="18" t="s">
        <v>36</v>
      </c>
      <c r="I448" s="19" t="s">
        <v>34</v>
      </c>
      <c r="J448" s="18" t="s">
        <v>234</v>
      </c>
      <c r="K448" s="19" t="s">
        <v>958</v>
      </c>
      <c r="L448" s="14" t="s">
        <v>38</v>
      </c>
      <c r="M448" s="49"/>
    </row>
    <row r="449" spans="1:13" ht="13.5" hidden="1" customHeight="1">
      <c r="A449" s="14">
        <f t="shared" si="5"/>
        <v>442</v>
      </c>
      <c r="B449" s="15" t="s">
        <v>959</v>
      </c>
      <c r="C449" s="15"/>
      <c r="D449" s="2" t="s">
        <v>960</v>
      </c>
      <c r="E449" s="16">
        <v>3</v>
      </c>
      <c r="F449" s="17">
        <v>45336</v>
      </c>
      <c r="G449" s="18" t="s">
        <v>41</v>
      </c>
      <c r="H449" s="18" t="s">
        <v>36</v>
      </c>
      <c r="I449" s="19" t="s">
        <v>34</v>
      </c>
      <c r="J449" s="18" t="s">
        <v>234</v>
      </c>
      <c r="K449" s="19" t="s">
        <v>958</v>
      </c>
      <c r="L449" s="14" t="s">
        <v>38</v>
      </c>
      <c r="M449" s="49"/>
    </row>
    <row r="450" spans="1:13" ht="13.5" hidden="1" customHeight="1">
      <c r="A450" s="14">
        <f t="shared" si="5"/>
        <v>443</v>
      </c>
      <c r="B450" s="15" t="s">
        <v>961</v>
      </c>
      <c r="C450" s="15"/>
      <c r="D450" s="2" t="s">
        <v>962</v>
      </c>
      <c r="E450" s="16">
        <v>3</v>
      </c>
      <c r="F450" s="17">
        <v>45336</v>
      </c>
      <c r="G450" s="18" t="s">
        <v>41</v>
      </c>
      <c r="H450" s="18" t="s">
        <v>36</v>
      </c>
      <c r="I450" s="19" t="s">
        <v>34</v>
      </c>
      <c r="J450" s="18" t="s">
        <v>234</v>
      </c>
      <c r="K450" s="19" t="s">
        <v>958</v>
      </c>
      <c r="L450" s="14" t="s">
        <v>38</v>
      </c>
      <c r="M450" s="49"/>
    </row>
    <row r="451" spans="1:13" ht="13.5" hidden="1" customHeight="1">
      <c r="A451" s="14">
        <f t="shared" si="5"/>
        <v>444</v>
      </c>
      <c r="B451" s="15" t="s">
        <v>963</v>
      </c>
      <c r="C451" s="15"/>
      <c r="D451" s="2" t="s">
        <v>964</v>
      </c>
      <c r="E451" s="16">
        <v>3</v>
      </c>
      <c r="F451" s="17">
        <v>45336</v>
      </c>
      <c r="G451" s="18" t="s">
        <v>41</v>
      </c>
      <c r="H451" s="18" t="s">
        <v>36</v>
      </c>
      <c r="I451" s="19" t="s">
        <v>34</v>
      </c>
      <c r="J451" s="18" t="s">
        <v>234</v>
      </c>
      <c r="K451" s="19" t="s">
        <v>958</v>
      </c>
      <c r="L451" s="14" t="s">
        <v>38</v>
      </c>
      <c r="M451" s="49"/>
    </row>
    <row r="452" spans="1:13" ht="13.5" hidden="1" customHeight="1">
      <c r="A452" s="14">
        <f t="shared" ref="A452:A515" si="6">ROW()-7</f>
        <v>445</v>
      </c>
      <c r="B452" s="15" t="s">
        <v>965</v>
      </c>
      <c r="C452" s="15"/>
      <c r="D452" s="2" t="s">
        <v>966</v>
      </c>
      <c r="E452" s="16">
        <v>3</v>
      </c>
      <c r="F452" s="17">
        <v>45336</v>
      </c>
      <c r="G452" s="18" t="s">
        <v>41</v>
      </c>
      <c r="H452" s="18" t="s">
        <v>36</v>
      </c>
      <c r="I452" s="19" t="s">
        <v>34</v>
      </c>
      <c r="J452" s="18" t="s">
        <v>234</v>
      </c>
      <c r="K452" s="19" t="s">
        <v>958</v>
      </c>
      <c r="L452" s="14" t="s">
        <v>38</v>
      </c>
      <c r="M452" s="49"/>
    </row>
    <row r="453" spans="1:13" ht="13.5" hidden="1" customHeight="1">
      <c r="A453" s="14">
        <f t="shared" si="6"/>
        <v>446</v>
      </c>
      <c r="B453" s="15" t="s">
        <v>967</v>
      </c>
      <c r="C453" s="15"/>
      <c r="D453" s="2" t="s">
        <v>968</v>
      </c>
      <c r="E453" s="16">
        <v>3</v>
      </c>
      <c r="F453" s="17">
        <v>45336</v>
      </c>
      <c r="G453" s="18" t="s">
        <v>41</v>
      </c>
      <c r="H453" s="18" t="s">
        <v>36</v>
      </c>
      <c r="I453" s="19" t="s">
        <v>34</v>
      </c>
      <c r="J453" s="18" t="s">
        <v>234</v>
      </c>
      <c r="K453" s="19" t="s">
        <v>958</v>
      </c>
      <c r="L453" s="14" t="s">
        <v>38</v>
      </c>
      <c r="M453" s="49"/>
    </row>
    <row r="454" spans="1:13" ht="13.5" hidden="1" customHeight="1">
      <c r="A454" s="14">
        <f t="shared" si="6"/>
        <v>447</v>
      </c>
      <c r="B454" s="15" t="s">
        <v>969</v>
      </c>
      <c r="C454" s="15"/>
      <c r="D454" s="2" t="s">
        <v>970</v>
      </c>
      <c r="E454" s="16">
        <v>3</v>
      </c>
      <c r="F454" s="17">
        <v>45336</v>
      </c>
      <c r="G454" s="18" t="s">
        <v>41</v>
      </c>
      <c r="H454" s="18" t="s">
        <v>36</v>
      </c>
      <c r="I454" s="19" t="s">
        <v>34</v>
      </c>
      <c r="J454" s="18" t="s">
        <v>234</v>
      </c>
      <c r="K454" s="19" t="s">
        <v>958</v>
      </c>
      <c r="L454" s="14" t="s">
        <v>38</v>
      </c>
      <c r="M454" s="49"/>
    </row>
    <row r="455" spans="1:13" ht="13.5" hidden="1" customHeight="1">
      <c r="A455" s="14">
        <f t="shared" si="6"/>
        <v>448</v>
      </c>
      <c r="B455" s="15" t="s">
        <v>971</v>
      </c>
      <c r="C455" s="15"/>
      <c r="D455" s="2" t="s">
        <v>972</v>
      </c>
      <c r="E455" s="16">
        <v>3</v>
      </c>
      <c r="F455" s="17">
        <v>45336</v>
      </c>
      <c r="G455" s="18" t="s">
        <v>41</v>
      </c>
      <c r="H455" s="18" t="s">
        <v>36</v>
      </c>
      <c r="I455" s="19" t="s">
        <v>34</v>
      </c>
      <c r="J455" s="18" t="s">
        <v>234</v>
      </c>
      <c r="K455" s="19" t="s">
        <v>958</v>
      </c>
      <c r="L455" s="14" t="s">
        <v>38</v>
      </c>
      <c r="M455" s="49"/>
    </row>
    <row r="456" spans="1:13" ht="13.5" hidden="1" customHeight="1">
      <c r="A456" s="14">
        <f t="shared" si="6"/>
        <v>449</v>
      </c>
      <c r="B456" s="15" t="s">
        <v>973</v>
      </c>
      <c r="C456" s="15"/>
      <c r="D456" s="2" t="s">
        <v>974</v>
      </c>
      <c r="E456" s="16">
        <v>3</v>
      </c>
      <c r="F456" s="17">
        <v>45336</v>
      </c>
      <c r="G456" s="18" t="s">
        <v>41</v>
      </c>
      <c r="H456" s="18" t="s">
        <v>36</v>
      </c>
      <c r="I456" s="19" t="s">
        <v>34</v>
      </c>
      <c r="J456" s="18" t="s">
        <v>234</v>
      </c>
      <c r="K456" s="19" t="s">
        <v>958</v>
      </c>
      <c r="L456" s="14" t="s">
        <v>38</v>
      </c>
      <c r="M456" s="49"/>
    </row>
    <row r="457" spans="1:13" ht="13.5" hidden="1" customHeight="1">
      <c r="A457" s="14">
        <f t="shared" si="6"/>
        <v>450</v>
      </c>
      <c r="B457" s="15" t="s">
        <v>975</v>
      </c>
      <c r="C457" s="15"/>
      <c r="D457" s="2" t="s">
        <v>976</v>
      </c>
      <c r="E457" s="16">
        <v>3</v>
      </c>
      <c r="F457" s="17">
        <v>45336</v>
      </c>
      <c r="G457" s="18" t="s">
        <v>41</v>
      </c>
      <c r="H457" s="18" t="s">
        <v>36</v>
      </c>
      <c r="I457" s="19" t="s">
        <v>34</v>
      </c>
      <c r="J457" s="18" t="s">
        <v>234</v>
      </c>
      <c r="K457" s="19" t="s">
        <v>958</v>
      </c>
      <c r="L457" s="14" t="s">
        <v>38</v>
      </c>
      <c r="M457" s="49"/>
    </row>
    <row r="458" spans="1:13" ht="13.5" hidden="1" customHeight="1">
      <c r="A458" s="20">
        <f t="shared" si="6"/>
        <v>451</v>
      </c>
      <c r="B458" s="21" t="s">
        <v>977</v>
      </c>
      <c r="C458" s="21"/>
      <c r="D458" s="1" t="s">
        <v>34</v>
      </c>
      <c r="E458" s="22"/>
      <c r="F458" s="23">
        <v>45336</v>
      </c>
      <c r="G458" s="24" t="s">
        <v>633</v>
      </c>
      <c r="H458" s="24" t="s">
        <v>634</v>
      </c>
      <c r="I458" s="25" t="s">
        <v>34</v>
      </c>
      <c r="J458" s="24" t="s">
        <v>34</v>
      </c>
      <c r="K458" s="25" t="s">
        <v>978</v>
      </c>
      <c r="L458" s="20" t="s">
        <v>38</v>
      </c>
      <c r="M458" s="49"/>
    </row>
    <row r="459" spans="1:13" ht="13.5" hidden="1" customHeight="1">
      <c r="A459" s="14">
        <f t="shared" si="6"/>
        <v>452</v>
      </c>
      <c r="B459" s="15" t="s">
        <v>979</v>
      </c>
      <c r="C459" s="15"/>
      <c r="D459" s="2" t="s">
        <v>980</v>
      </c>
      <c r="E459" s="16" t="s">
        <v>34</v>
      </c>
      <c r="F459" s="17">
        <v>45336</v>
      </c>
      <c r="G459" s="18" t="s">
        <v>41</v>
      </c>
      <c r="H459" s="18" t="s">
        <v>36</v>
      </c>
      <c r="I459" s="19" t="s">
        <v>34</v>
      </c>
      <c r="J459" s="18" t="s">
        <v>981</v>
      </c>
      <c r="K459" s="19" t="s">
        <v>978</v>
      </c>
      <c r="L459" s="14" t="s">
        <v>38</v>
      </c>
      <c r="M459" s="49"/>
    </row>
    <row r="460" spans="1:13" ht="13.5" hidden="1" customHeight="1">
      <c r="A460" s="14">
        <f t="shared" si="6"/>
        <v>453</v>
      </c>
      <c r="B460" s="15" t="s">
        <v>982</v>
      </c>
      <c r="C460" s="15"/>
      <c r="D460" s="2" t="s">
        <v>983</v>
      </c>
      <c r="E460" s="16">
        <v>0</v>
      </c>
      <c r="F460" s="17">
        <v>45336</v>
      </c>
      <c r="G460" s="18" t="s">
        <v>152</v>
      </c>
      <c r="H460" s="18" t="s">
        <v>36</v>
      </c>
      <c r="I460" s="19">
        <v>8</v>
      </c>
      <c r="J460" s="18" t="s">
        <v>981</v>
      </c>
      <c r="K460" s="19" t="s">
        <v>978</v>
      </c>
      <c r="L460" s="14" t="s">
        <v>38</v>
      </c>
      <c r="M460" s="49"/>
    </row>
    <row r="461" spans="1:13" ht="13.5" hidden="1" customHeight="1">
      <c r="A461" s="20">
        <f t="shared" si="6"/>
        <v>454</v>
      </c>
      <c r="B461" s="21" t="s">
        <v>984</v>
      </c>
      <c r="C461" s="21"/>
      <c r="D461" s="1" t="s">
        <v>34</v>
      </c>
      <c r="E461" s="22"/>
      <c r="F461" s="23">
        <v>45336</v>
      </c>
      <c r="G461" s="24" t="s">
        <v>633</v>
      </c>
      <c r="H461" s="24" t="s">
        <v>634</v>
      </c>
      <c r="I461" s="25" t="s">
        <v>34</v>
      </c>
      <c r="J461" s="24" t="s">
        <v>34</v>
      </c>
      <c r="K461" s="25" t="s">
        <v>985</v>
      </c>
      <c r="L461" s="20" t="s">
        <v>38</v>
      </c>
      <c r="M461" s="49"/>
    </row>
    <row r="462" spans="1:13" ht="13.5" hidden="1" customHeight="1">
      <c r="A462" s="20">
        <f t="shared" si="6"/>
        <v>455</v>
      </c>
      <c r="B462" s="21" t="s">
        <v>986</v>
      </c>
      <c r="C462" s="21"/>
      <c r="D462" s="1" t="s">
        <v>34</v>
      </c>
      <c r="E462" s="22"/>
      <c r="F462" s="23">
        <v>45336</v>
      </c>
      <c r="G462" s="24" t="s">
        <v>633</v>
      </c>
      <c r="H462" s="24" t="s">
        <v>634</v>
      </c>
      <c r="I462" s="25" t="s">
        <v>34</v>
      </c>
      <c r="J462" s="24" t="s">
        <v>34</v>
      </c>
      <c r="K462" s="25" t="s">
        <v>985</v>
      </c>
      <c r="L462" s="20" t="s">
        <v>38</v>
      </c>
      <c r="M462" s="49"/>
    </row>
    <row r="463" spans="1:13" ht="13.5" hidden="1" customHeight="1">
      <c r="A463" s="14">
        <f t="shared" si="6"/>
        <v>456</v>
      </c>
      <c r="B463" s="15" t="s">
        <v>987</v>
      </c>
      <c r="C463" s="15"/>
      <c r="D463" s="2" t="s">
        <v>988</v>
      </c>
      <c r="E463" s="16">
        <v>0</v>
      </c>
      <c r="F463" s="17">
        <v>45336</v>
      </c>
      <c r="G463" s="18" t="s">
        <v>94</v>
      </c>
      <c r="H463" s="18" t="s">
        <v>36</v>
      </c>
      <c r="I463" s="19">
        <v>3</v>
      </c>
      <c r="J463" s="18" t="s">
        <v>981</v>
      </c>
      <c r="K463" s="19" t="s">
        <v>985</v>
      </c>
      <c r="L463" s="14" t="s">
        <v>38</v>
      </c>
      <c r="M463" s="49"/>
    </row>
    <row r="464" spans="1:13" ht="13.5" hidden="1" customHeight="1">
      <c r="A464" s="20">
        <f t="shared" si="6"/>
        <v>457</v>
      </c>
      <c r="B464" s="21" t="s">
        <v>989</v>
      </c>
      <c r="C464" s="21"/>
      <c r="D464" s="1" t="s">
        <v>34</v>
      </c>
      <c r="E464" s="22"/>
      <c r="F464" s="23">
        <v>45336</v>
      </c>
      <c r="G464" s="24" t="s">
        <v>633</v>
      </c>
      <c r="H464" s="24" t="s">
        <v>634</v>
      </c>
      <c r="I464" s="25" t="s">
        <v>34</v>
      </c>
      <c r="J464" s="24" t="s">
        <v>34</v>
      </c>
      <c r="K464" s="25" t="s">
        <v>985</v>
      </c>
      <c r="L464" s="20" t="s">
        <v>38</v>
      </c>
      <c r="M464" s="49"/>
    </row>
    <row r="465" spans="1:13" ht="13.5" hidden="1" customHeight="1">
      <c r="A465" s="20">
        <f t="shared" si="6"/>
        <v>458</v>
      </c>
      <c r="B465" s="21" t="s">
        <v>990</v>
      </c>
      <c r="C465" s="21"/>
      <c r="D465" s="1" t="s">
        <v>34</v>
      </c>
      <c r="E465" s="22"/>
      <c r="F465" s="23">
        <v>45336</v>
      </c>
      <c r="G465" s="24" t="s">
        <v>633</v>
      </c>
      <c r="H465" s="24" t="s">
        <v>634</v>
      </c>
      <c r="I465" s="25" t="s">
        <v>34</v>
      </c>
      <c r="J465" s="24" t="s">
        <v>34</v>
      </c>
      <c r="K465" s="25" t="s">
        <v>985</v>
      </c>
      <c r="L465" s="20" t="s">
        <v>38</v>
      </c>
      <c r="M465" s="49"/>
    </row>
    <row r="466" spans="1:13" ht="13.5" hidden="1" customHeight="1">
      <c r="A466" s="20">
        <f t="shared" si="6"/>
        <v>459</v>
      </c>
      <c r="B466" s="21" t="s">
        <v>991</v>
      </c>
      <c r="C466" s="21"/>
      <c r="D466" s="1" t="s">
        <v>34</v>
      </c>
      <c r="E466" s="22"/>
      <c r="F466" s="23">
        <v>45336</v>
      </c>
      <c r="G466" s="24" t="s">
        <v>633</v>
      </c>
      <c r="H466" s="24" t="s">
        <v>634</v>
      </c>
      <c r="I466" s="25" t="s">
        <v>34</v>
      </c>
      <c r="J466" s="24" t="s">
        <v>34</v>
      </c>
      <c r="K466" s="25" t="s">
        <v>985</v>
      </c>
      <c r="L466" s="20" t="s">
        <v>38</v>
      </c>
      <c r="M466" s="49"/>
    </row>
    <row r="467" spans="1:13" ht="13.5" hidden="1" customHeight="1">
      <c r="A467" s="20">
        <f t="shared" si="6"/>
        <v>460</v>
      </c>
      <c r="B467" s="21" t="s">
        <v>992</v>
      </c>
      <c r="C467" s="21"/>
      <c r="D467" s="1" t="s">
        <v>34</v>
      </c>
      <c r="E467" s="22"/>
      <c r="F467" s="23">
        <v>45336</v>
      </c>
      <c r="G467" s="24" t="s">
        <v>633</v>
      </c>
      <c r="H467" s="24" t="s">
        <v>634</v>
      </c>
      <c r="I467" s="25" t="s">
        <v>34</v>
      </c>
      <c r="J467" s="24" t="s">
        <v>34</v>
      </c>
      <c r="K467" s="25" t="s">
        <v>985</v>
      </c>
      <c r="L467" s="20" t="s">
        <v>38</v>
      </c>
      <c r="M467" s="49"/>
    </row>
    <row r="468" spans="1:13" ht="13.5" hidden="1" customHeight="1">
      <c r="A468" s="20">
        <f t="shared" si="6"/>
        <v>461</v>
      </c>
      <c r="B468" s="21" t="s">
        <v>993</v>
      </c>
      <c r="C468" s="21"/>
      <c r="D468" s="1" t="s">
        <v>34</v>
      </c>
      <c r="E468" s="22"/>
      <c r="F468" s="23">
        <v>45336</v>
      </c>
      <c r="G468" s="24" t="s">
        <v>633</v>
      </c>
      <c r="H468" s="24" t="s">
        <v>634</v>
      </c>
      <c r="I468" s="25" t="s">
        <v>34</v>
      </c>
      <c r="J468" s="24" t="s">
        <v>34</v>
      </c>
      <c r="K468" s="25" t="s">
        <v>985</v>
      </c>
      <c r="L468" s="20" t="s">
        <v>38</v>
      </c>
      <c r="M468" s="49"/>
    </row>
    <row r="469" spans="1:13" ht="13.5" hidden="1" customHeight="1">
      <c r="A469" s="20">
        <f t="shared" si="6"/>
        <v>462</v>
      </c>
      <c r="B469" s="21" t="s">
        <v>994</v>
      </c>
      <c r="C469" s="21"/>
      <c r="D469" s="1" t="s">
        <v>34</v>
      </c>
      <c r="E469" s="22"/>
      <c r="F469" s="23">
        <v>45336</v>
      </c>
      <c r="G469" s="24" t="s">
        <v>633</v>
      </c>
      <c r="H469" s="24" t="s">
        <v>634</v>
      </c>
      <c r="I469" s="25" t="s">
        <v>34</v>
      </c>
      <c r="J469" s="24" t="s">
        <v>34</v>
      </c>
      <c r="K469" s="25" t="s">
        <v>985</v>
      </c>
      <c r="L469" s="20" t="s">
        <v>38</v>
      </c>
      <c r="M469" s="49"/>
    </row>
    <row r="470" spans="1:13" ht="13.5" hidden="1" customHeight="1">
      <c r="A470" s="20">
        <f t="shared" si="6"/>
        <v>463</v>
      </c>
      <c r="B470" s="21" t="s">
        <v>995</v>
      </c>
      <c r="C470" s="21"/>
      <c r="D470" s="1" t="s">
        <v>34</v>
      </c>
      <c r="E470" s="22"/>
      <c r="F470" s="23">
        <v>45336</v>
      </c>
      <c r="G470" s="24" t="s">
        <v>633</v>
      </c>
      <c r="H470" s="24" t="s">
        <v>634</v>
      </c>
      <c r="I470" s="25" t="s">
        <v>34</v>
      </c>
      <c r="J470" s="24" t="s">
        <v>34</v>
      </c>
      <c r="K470" s="25" t="s">
        <v>985</v>
      </c>
      <c r="L470" s="20" t="s">
        <v>38</v>
      </c>
      <c r="M470" s="49"/>
    </row>
    <row r="471" spans="1:13" ht="13.5" hidden="1" customHeight="1">
      <c r="A471" s="14">
        <f t="shared" si="6"/>
        <v>464</v>
      </c>
      <c r="B471" s="15" t="s">
        <v>986</v>
      </c>
      <c r="C471" s="15"/>
      <c r="D471" s="2" t="s">
        <v>996</v>
      </c>
      <c r="E471" s="16">
        <v>0</v>
      </c>
      <c r="F471" s="17">
        <v>45336</v>
      </c>
      <c r="G471" s="18" t="s">
        <v>94</v>
      </c>
      <c r="H471" s="18" t="s">
        <v>36</v>
      </c>
      <c r="I471" s="19">
        <v>1</v>
      </c>
      <c r="J471" s="18" t="s">
        <v>981</v>
      </c>
      <c r="K471" s="19" t="s">
        <v>997</v>
      </c>
      <c r="L471" s="14" t="s">
        <v>38</v>
      </c>
      <c r="M471" s="49"/>
    </row>
    <row r="472" spans="1:13" ht="13.5" hidden="1" customHeight="1">
      <c r="A472" s="20">
        <f t="shared" si="6"/>
        <v>465</v>
      </c>
      <c r="B472" s="21" t="s">
        <v>998</v>
      </c>
      <c r="C472" s="21"/>
      <c r="D472" s="1" t="s">
        <v>34</v>
      </c>
      <c r="E472" s="22"/>
      <c r="F472" s="23">
        <v>45336</v>
      </c>
      <c r="G472" s="24" t="s">
        <v>633</v>
      </c>
      <c r="H472" s="24" t="s">
        <v>634</v>
      </c>
      <c r="I472" s="25" t="s">
        <v>34</v>
      </c>
      <c r="J472" s="24" t="s">
        <v>34</v>
      </c>
      <c r="K472" s="25" t="s">
        <v>997</v>
      </c>
      <c r="L472" s="20" t="s">
        <v>38</v>
      </c>
      <c r="M472" s="49"/>
    </row>
    <row r="473" spans="1:13" ht="13.5" hidden="1" customHeight="1">
      <c r="A473" s="20">
        <f t="shared" si="6"/>
        <v>466</v>
      </c>
      <c r="B473" s="21" t="s">
        <v>999</v>
      </c>
      <c r="C473" s="21"/>
      <c r="D473" s="1" t="s">
        <v>34</v>
      </c>
      <c r="E473" s="22"/>
      <c r="F473" s="23">
        <v>45336</v>
      </c>
      <c r="G473" s="24" t="s">
        <v>633</v>
      </c>
      <c r="H473" s="24" t="s">
        <v>634</v>
      </c>
      <c r="I473" s="25" t="s">
        <v>34</v>
      </c>
      <c r="J473" s="24" t="s">
        <v>34</v>
      </c>
      <c r="K473" s="25" t="s">
        <v>997</v>
      </c>
      <c r="L473" s="20" t="s">
        <v>38</v>
      </c>
      <c r="M473" s="49"/>
    </row>
    <row r="474" spans="1:13" ht="13.5" hidden="1" customHeight="1">
      <c r="A474" s="20">
        <f t="shared" si="6"/>
        <v>467</v>
      </c>
      <c r="B474" s="21" t="s">
        <v>1000</v>
      </c>
      <c r="C474" s="21"/>
      <c r="D474" s="1" t="s">
        <v>34</v>
      </c>
      <c r="E474" s="22"/>
      <c r="F474" s="23">
        <v>45336</v>
      </c>
      <c r="G474" s="24" t="s">
        <v>633</v>
      </c>
      <c r="H474" s="24" t="s">
        <v>634</v>
      </c>
      <c r="I474" s="25" t="s">
        <v>34</v>
      </c>
      <c r="J474" s="24" t="s">
        <v>34</v>
      </c>
      <c r="K474" s="25" t="s">
        <v>997</v>
      </c>
      <c r="L474" s="20" t="s">
        <v>38</v>
      </c>
      <c r="M474" s="49"/>
    </row>
    <row r="475" spans="1:13" ht="13.5" hidden="1" customHeight="1">
      <c r="A475" s="20">
        <f t="shared" si="6"/>
        <v>468</v>
      </c>
      <c r="B475" s="21" t="s">
        <v>1001</v>
      </c>
      <c r="C475" s="21"/>
      <c r="D475" s="1" t="s">
        <v>34</v>
      </c>
      <c r="E475" s="22"/>
      <c r="F475" s="23">
        <v>45336</v>
      </c>
      <c r="G475" s="24" t="s">
        <v>633</v>
      </c>
      <c r="H475" s="24" t="s">
        <v>634</v>
      </c>
      <c r="I475" s="25" t="s">
        <v>34</v>
      </c>
      <c r="J475" s="24" t="s">
        <v>34</v>
      </c>
      <c r="K475" s="25" t="s">
        <v>997</v>
      </c>
      <c r="L475" s="20" t="s">
        <v>38</v>
      </c>
      <c r="M475" s="49"/>
    </row>
    <row r="476" spans="1:13" ht="13.5" hidden="1" customHeight="1">
      <c r="A476" s="20">
        <f t="shared" si="6"/>
        <v>469</v>
      </c>
      <c r="B476" s="21" t="s">
        <v>1002</v>
      </c>
      <c r="C476" s="21"/>
      <c r="D476" s="1" t="s">
        <v>34</v>
      </c>
      <c r="E476" s="22"/>
      <c r="F476" s="23">
        <v>45336</v>
      </c>
      <c r="G476" s="24" t="s">
        <v>633</v>
      </c>
      <c r="H476" s="24" t="s">
        <v>634</v>
      </c>
      <c r="I476" s="25" t="s">
        <v>34</v>
      </c>
      <c r="J476" s="24" t="s">
        <v>34</v>
      </c>
      <c r="K476" s="25" t="s">
        <v>997</v>
      </c>
      <c r="L476" s="20" t="s">
        <v>38</v>
      </c>
      <c r="M476" s="49"/>
    </row>
    <row r="477" spans="1:13" ht="13.5" hidden="1" customHeight="1">
      <c r="A477" s="20">
        <f t="shared" si="6"/>
        <v>470</v>
      </c>
      <c r="B477" s="21" t="s">
        <v>1003</v>
      </c>
      <c r="C477" s="21"/>
      <c r="D477" s="1" t="s">
        <v>34</v>
      </c>
      <c r="E477" s="22"/>
      <c r="F477" s="23">
        <v>45336</v>
      </c>
      <c r="G477" s="24" t="s">
        <v>633</v>
      </c>
      <c r="H477" s="24" t="s">
        <v>634</v>
      </c>
      <c r="I477" s="25" t="s">
        <v>34</v>
      </c>
      <c r="J477" s="24" t="s">
        <v>34</v>
      </c>
      <c r="K477" s="25" t="s">
        <v>997</v>
      </c>
      <c r="L477" s="20" t="s">
        <v>38</v>
      </c>
      <c r="M477" s="49"/>
    </row>
    <row r="478" spans="1:13" ht="13.5" hidden="1" customHeight="1">
      <c r="A478" s="20">
        <f t="shared" si="6"/>
        <v>471</v>
      </c>
      <c r="B478" s="21" t="s">
        <v>1004</v>
      </c>
      <c r="C478" s="21"/>
      <c r="D478" s="1" t="s">
        <v>34</v>
      </c>
      <c r="E478" s="22"/>
      <c r="F478" s="23">
        <v>45336</v>
      </c>
      <c r="G478" s="24" t="s">
        <v>633</v>
      </c>
      <c r="H478" s="24" t="s">
        <v>634</v>
      </c>
      <c r="I478" s="25" t="s">
        <v>34</v>
      </c>
      <c r="J478" s="24" t="s">
        <v>34</v>
      </c>
      <c r="K478" s="25" t="s">
        <v>997</v>
      </c>
      <c r="L478" s="20" t="s">
        <v>38</v>
      </c>
      <c r="M478" s="49"/>
    </row>
    <row r="479" spans="1:13" ht="13.5" hidden="1" customHeight="1">
      <c r="A479" s="14">
        <f t="shared" si="6"/>
        <v>472</v>
      </c>
      <c r="B479" s="15" t="s">
        <v>1005</v>
      </c>
      <c r="C479" s="15"/>
      <c r="D479" s="2" t="s">
        <v>1006</v>
      </c>
      <c r="E479" s="16">
        <v>0</v>
      </c>
      <c r="F479" s="17">
        <v>45336</v>
      </c>
      <c r="G479" s="18" t="s">
        <v>152</v>
      </c>
      <c r="H479" s="18" t="s">
        <v>36</v>
      </c>
      <c r="I479" s="19">
        <v>7</v>
      </c>
      <c r="J479" s="18" t="s">
        <v>981</v>
      </c>
      <c r="K479" s="19" t="s">
        <v>997</v>
      </c>
      <c r="L479" s="14" t="s">
        <v>38</v>
      </c>
      <c r="M479" s="49"/>
    </row>
    <row r="480" spans="1:13" ht="13.5" hidden="1" customHeight="1">
      <c r="A480" s="20">
        <f t="shared" si="6"/>
        <v>473</v>
      </c>
      <c r="B480" s="21" t="s">
        <v>1007</v>
      </c>
      <c r="C480" s="21"/>
      <c r="D480" s="1" t="s">
        <v>34</v>
      </c>
      <c r="E480" s="22"/>
      <c r="F480" s="23">
        <v>45336</v>
      </c>
      <c r="G480" s="24" t="s">
        <v>633</v>
      </c>
      <c r="H480" s="24" t="s">
        <v>634</v>
      </c>
      <c r="I480" s="25" t="s">
        <v>34</v>
      </c>
      <c r="J480" s="24" t="s">
        <v>34</v>
      </c>
      <c r="K480" s="25" t="s">
        <v>997</v>
      </c>
      <c r="L480" s="20" t="s">
        <v>38</v>
      </c>
      <c r="M480" s="49"/>
    </row>
    <row r="481" spans="1:13" ht="13.5" hidden="1" customHeight="1">
      <c r="A481" s="20">
        <f t="shared" si="6"/>
        <v>474</v>
      </c>
      <c r="B481" s="21" t="s">
        <v>1008</v>
      </c>
      <c r="C481" s="21"/>
      <c r="D481" s="1" t="s">
        <v>34</v>
      </c>
      <c r="E481" s="22"/>
      <c r="F481" s="23">
        <v>45336</v>
      </c>
      <c r="G481" s="24" t="s">
        <v>633</v>
      </c>
      <c r="H481" s="24" t="s">
        <v>634</v>
      </c>
      <c r="I481" s="25" t="s">
        <v>34</v>
      </c>
      <c r="J481" s="24" t="s">
        <v>34</v>
      </c>
      <c r="K481" s="25" t="s">
        <v>997</v>
      </c>
      <c r="L481" s="20" t="s">
        <v>38</v>
      </c>
      <c r="M481" s="49"/>
    </row>
    <row r="482" spans="1:13" ht="13.5" hidden="1" customHeight="1">
      <c r="A482" s="20">
        <f t="shared" si="6"/>
        <v>475</v>
      </c>
      <c r="B482" s="21" t="s">
        <v>1009</v>
      </c>
      <c r="C482" s="21"/>
      <c r="D482" s="1" t="s">
        <v>34</v>
      </c>
      <c r="E482" s="22"/>
      <c r="F482" s="23">
        <v>45336</v>
      </c>
      <c r="G482" s="24" t="s">
        <v>633</v>
      </c>
      <c r="H482" s="24" t="s">
        <v>634</v>
      </c>
      <c r="I482" s="25" t="s">
        <v>34</v>
      </c>
      <c r="J482" s="24" t="s">
        <v>34</v>
      </c>
      <c r="K482" s="25" t="s">
        <v>997</v>
      </c>
      <c r="L482" s="20" t="s">
        <v>38</v>
      </c>
      <c r="M482" s="49"/>
    </row>
    <row r="483" spans="1:13" ht="13.5" hidden="1" customHeight="1">
      <c r="A483" s="14">
        <f t="shared" si="6"/>
        <v>476</v>
      </c>
      <c r="B483" s="15" t="s">
        <v>1010</v>
      </c>
      <c r="C483" s="15"/>
      <c r="D483" s="2" t="s">
        <v>1011</v>
      </c>
      <c r="E483" s="16">
        <v>0</v>
      </c>
      <c r="F483" s="17">
        <v>45336</v>
      </c>
      <c r="G483" s="18" t="s">
        <v>152</v>
      </c>
      <c r="H483" s="18" t="s">
        <v>36</v>
      </c>
      <c r="I483" s="19">
        <v>4</v>
      </c>
      <c r="J483" s="18" t="s">
        <v>981</v>
      </c>
      <c r="K483" s="19" t="s">
        <v>997</v>
      </c>
      <c r="L483" s="14" t="s">
        <v>38</v>
      </c>
      <c r="M483" s="49"/>
    </row>
    <row r="484" spans="1:13" ht="13.5" hidden="1" customHeight="1">
      <c r="A484" s="20">
        <f t="shared" si="6"/>
        <v>477</v>
      </c>
      <c r="B484" s="21" t="s">
        <v>1012</v>
      </c>
      <c r="C484" s="21"/>
      <c r="D484" s="1" t="s">
        <v>34</v>
      </c>
      <c r="E484" s="22"/>
      <c r="F484" s="23">
        <v>45336</v>
      </c>
      <c r="G484" s="24" t="s">
        <v>633</v>
      </c>
      <c r="H484" s="24" t="s">
        <v>634</v>
      </c>
      <c r="I484" s="25" t="s">
        <v>34</v>
      </c>
      <c r="J484" s="24" t="s">
        <v>34</v>
      </c>
      <c r="K484" s="25" t="s">
        <v>997</v>
      </c>
      <c r="L484" s="20" t="s">
        <v>38</v>
      </c>
      <c r="M484" s="49"/>
    </row>
    <row r="485" spans="1:13" ht="13.5" hidden="1" customHeight="1">
      <c r="A485" s="14">
        <f t="shared" si="6"/>
        <v>478</v>
      </c>
      <c r="B485" s="15" t="s">
        <v>1013</v>
      </c>
      <c r="C485" s="15"/>
      <c r="D485" s="2" t="s">
        <v>1014</v>
      </c>
      <c r="E485" s="16">
        <v>0</v>
      </c>
      <c r="F485" s="17">
        <v>45336</v>
      </c>
      <c r="G485" s="18" t="s">
        <v>152</v>
      </c>
      <c r="H485" s="18" t="s">
        <v>36</v>
      </c>
      <c r="I485" s="19">
        <v>9</v>
      </c>
      <c r="J485" s="18" t="s">
        <v>981</v>
      </c>
      <c r="K485" s="19" t="s">
        <v>997</v>
      </c>
      <c r="L485" s="14" t="s">
        <v>38</v>
      </c>
      <c r="M485" s="49"/>
    </row>
    <row r="486" spans="1:13" ht="13.5" hidden="1" customHeight="1">
      <c r="A486" s="20">
        <f t="shared" si="6"/>
        <v>479</v>
      </c>
      <c r="B486" s="21" t="s">
        <v>1015</v>
      </c>
      <c r="C486" s="21"/>
      <c r="D486" s="1" t="s">
        <v>34</v>
      </c>
      <c r="E486" s="22"/>
      <c r="F486" s="23">
        <v>45336</v>
      </c>
      <c r="G486" s="24" t="s">
        <v>633</v>
      </c>
      <c r="H486" s="24" t="s">
        <v>634</v>
      </c>
      <c r="I486" s="25" t="s">
        <v>34</v>
      </c>
      <c r="J486" s="24" t="s">
        <v>34</v>
      </c>
      <c r="K486" s="25" t="s">
        <v>997</v>
      </c>
      <c r="L486" s="20" t="s">
        <v>38</v>
      </c>
      <c r="M486" s="49"/>
    </row>
    <row r="487" spans="1:13" ht="13.5" hidden="1" customHeight="1">
      <c r="A487" s="20">
        <f t="shared" si="6"/>
        <v>480</v>
      </c>
      <c r="B487" s="21" t="s">
        <v>1016</v>
      </c>
      <c r="C487" s="21"/>
      <c r="D487" s="1" t="s">
        <v>34</v>
      </c>
      <c r="E487" s="22"/>
      <c r="F487" s="23">
        <v>45336</v>
      </c>
      <c r="G487" s="24" t="s">
        <v>633</v>
      </c>
      <c r="H487" s="24" t="s">
        <v>634</v>
      </c>
      <c r="I487" s="25" t="s">
        <v>34</v>
      </c>
      <c r="J487" s="24" t="s">
        <v>34</v>
      </c>
      <c r="K487" s="25" t="s">
        <v>997</v>
      </c>
      <c r="L487" s="20" t="s">
        <v>38</v>
      </c>
      <c r="M487" s="49"/>
    </row>
    <row r="488" spans="1:13" ht="13.5" hidden="1" customHeight="1">
      <c r="A488" s="20">
        <f t="shared" si="6"/>
        <v>481</v>
      </c>
      <c r="B488" s="21" t="s">
        <v>1017</v>
      </c>
      <c r="C488" s="21"/>
      <c r="D488" s="1" t="s">
        <v>34</v>
      </c>
      <c r="E488" s="22"/>
      <c r="F488" s="23">
        <v>45336</v>
      </c>
      <c r="G488" s="24" t="s">
        <v>633</v>
      </c>
      <c r="H488" s="24" t="s">
        <v>634</v>
      </c>
      <c r="I488" s="25" t="s">
        <v>34</v>
      </c>
      <c r="J488" s="24" t="s">
        <v>34</v>
      </c>
      <c r="K488" s="25" t="s">
        <v>997</v>
      </c>
      <c r="L488" s="20" t="s">
        <v>38</v>
      </c>
      <c r="M488" s="49"/>
    </row>
    <row r="489" spans="1:13" ht="13.5" hidden="1" customHeight="1">
      <c r="A489" s="26">
        <f t="shared" si="6"/>
        <v>482</v>
      </c>
      <c r="B489" s="27" t="s">
        <v>982</v>
      </c>
      <c r="C489" s="27"/>
      <c r="D489" s="28" t="s">
        <v>983</v>
      </c>
      <c r="E489" s="29">
        <v>0</v>
      </c>
      <c r="F489" s="30">
        <v>45336</v>
      </c>
      <c r="G489" s="31" t="s">
        <v>152</v>
      </c>
      <c r="H489" s="31" t="s">
        <v>36</v>
      </c>
      <c r="I489" s="32">
        <v>8</v>
      </c>
      <c r="J489" s="31" t="s">
        <v>981</v>
      </c>
      <c r="K489" s="32" t="s">
        <v>997</v>
      </c>
      <c r="L489" s="14" t="s">
        <v>38</v>
      </c>
      <c r="M489" s="49"/>
    </row>
    <row r="490" spans="1:13" ht="13.5" hidden="1" customHeight="1">
      <c r="A490" s="14">
        <f t="shared" si="6"/>
        <v>483</v>
      </c>
      <c r="B490" s="15" t="s">
        <v>1018</v>
      </c>
      <c r="C490" s="15"/>
      <c r="D490" s="2" t="s">
        <v>1019</v>
      </c>
      <c r="E490" s="16" t="s">
        <v>34</v>
      </c>
      <c r="F490" s="17">
        <v>45336</v>
      </c>
      <c r="G490" s="18" t="s">
        <v>668</v>
      </c>
      <c r="H490" s="18" t="s">
        <v>36</v>
      </c>
      <c r="I490" s="19">
        <v>26</v>
      </c>
      <c r="J490" s="18" t="s">
        <v>981</v>
      </c>
      <c r="K490" s="19" t="s">
        <v>1020</v>
      </c>
      <c r="L490" s="14" t="s">
        <v>38</v>
      </c>
      <c r="M490" s="49"/>
    </row>
    <row r="491" spans="1:13" ht="13.5" hidden="1" customHeight="1">
      <c r="A491" s="14">
        <f t="shared" si="6"/>
        <v>484</v>
      </c>
      <c r="B491" s="15" t="s">
        <v>1021</v>
      </c>
      <c r="C491" s="15"/>
      <c r="D491" s="2" t="s">
        <v>1022</v>
      </c>
      <c r="E491" s="16" t="s">
        <v>34</v>
      </c>
      <c r="F491" s="17">
        <v>45336</v>
      </c>
      <c r="G491" s="18" t="s">
        <v>668</v>
      </c>
      <c r="H491" s="18" t="s">
        <v>36</v>
      </c>
      <c r="I491" s="19">
        <v>24</v>
      </c>
      <c r="J491" s="18" t="s">
        <v>981</v>
      </c>
      <c r="K491" s="19" t="s">
        <v>1020</v>
      </c>
      <c r="L491" s="14" t="s">
        <v>38</v>
      </c>
      <c r="M491" s="49"/>
    </row>
    <row r="492" spans="1:13" ht="13.5" hidden="1" customHeight="1">
      <c r="A492" s="20">
        <f t="shared" si="6"/>
        <v>485</v>
      </c>
      <c r="B492" s="21" t="s">
        <v>1023</v>
      </c>
      <c r="C492" s="21"/>
      <c r="D492" s="1" t="s">
        <v>34</v>
      </c>
      <c r="E492" s="22"/>
      <c r="F492" s="23">
        <v>45336</v>
      </c>
      <c r="G492" s="24" t="s">
        <v>633</v>
      </c>
      <c r="H492" s="24" t="s">
        <v>634</v>
      </c>
      <c r="I492" s="25" t="s">
        <v>34</v>
      </c>
      <c r="J492" s="24" t="s">
        <v>34</v>
      </c>
      <c r="K492" s="25" t="s">
        <v>1020</v>
      </c>
      <c r="L492" s="20" t="s">
        <v>38</v>
      </c>
      <c r="M492" s="49"/>
    </row>
    <row r="493" spans="1:13" ht="13.5" hidden="1" customHeight="1">
      <c r="A493" s="14">
        <f t="shared" si="6"/>
        <v>486</v>
      </c>
      <c r="B493" s="15" t="s">
        <v>1024</v>
      </c>
      <c r="C493" s="15"/>
      <c r="D493" s="2" t="s">
        <v>1025</v>
      </c>
      <c r="E493" s="16" t="s">
        <v>34</v>
      </c>
      <c r="F493" s="17">
        <v>45336</v>
      </c>
      <c r="G493" s="18" t="s">
        <v>668</v>
      </c>
      <c r="H493" s="18" t="s">
        <v>36</v>
      </c>
      <c r="I493" s="19">
        <v>22</v>
      </c>
      <c r="J493" s="18" t="s">
        <v>981</v>
      </c>
      <c r="K493" s="19" t="s">
        <v>1020</v>
      </c>
      <c r="L493" s="14" t="s">
        <v>38</v>
      </c>
      <c r="M493" s="49"/>
    </row>
    <row r="494" spans="1:13" ht="13.5" hidden="1" customHeight="1">
      <c r="A494" s="20">
        <f t="shared" si="6"/>
        <v>487</v>
      </c>
      <c r="B494" s="21" t="s">
        <v>1026</v>
      </c>
      <c r="C494" s="21"/>
      <c r="D494" s="1" t="s">
        <v>34</v>
      </c>
      <c r="E494" s="22"/>
      <c r="F494" s="23">
        <v>45336</v>
      </c>
      <c r="G494" s="24" t="s">
        <v>633</v>
      </c>
      <c r="H494" s="24" t="s">
        <v>634</v>
      </c>
      <c r="I494" s="25" t="s">
        <v>34</v>
      </c>
      <c r="J494" s="24" t="s">
        <v>34</v>
      </c>
      <c r="K494" s="25" t="s">
        <v>1020</v>
      </c>
      <c r="L494" s="20" t="s">
        <v>38</v>
      </c>
      <c r="M494" s="49"/>
    </row>
    <row r="495" spans="1:13" ht="13.5" hidden="1" customHeight="1">
      <c r="A495" s="14">
        <f t="shared" si="6"/>
        <v>488</v>
      </c>
      <c r="B495" s="15" t="s">
        <v>1027</v>
      </c>
      <c r="C495" s="15"/>
      <c r="D495" s="2" t="s">
        <v>1028</v>
      </c>
      <c r="E495" s="16" t="s">
        <v>34</v>
      </c>
      <c r="F495" s="17">
        <v>45336</v>
      </c>
      <c r="G495" s="18" t="s">
        <v>668</v>
      </c>
      <c r="H495" s="18" t="s">
        <v>36</v>
      </c>
      <c r="I495" s="19">
        <v>96</v>
      </c>
      <c r="J495" s="18" t="s">
        <v>981</v>
      </c>
      <c r="K495" s="19" t="s">
        <v>1020</v>
      </c>
      <c r="L495" s="14" t="s">
        <v>38</v>
      </c>
      <c r="M495" s="49"/>
    </row>
    <row r="496" spans="1:13" ht="13.5" hidden="1" customHeight="1">
      <c r="A496" s="14">
        <f t="shared" si="6"/>
        <v>489</v>
      </c>
      <c r="B496" s="15" t="s">
        <v>1029</v>
      </c>
      <c r="C496" s="15"/>
      <c r="D496" s="2" t="s">
        <v>1030</v>
      </c>
      <c r="E496" s="16">
        <v>0</v>
      </c>
      <c r="F496" s="17">
        <v>45336</v>
      </c>
      <c r="G496" s="18" t="s">
        <v>1031</v>
      </c>
      <c r="H496" s="18" t="s">
        <v>36</v>
      </c>
      <c r="I496" s="19">
        <v>8</v>
      </c>
      <c r="J496" s="18" t="s">
        <v>981</v>
      </c>
      <c r="K496" s="19" t="s">
        <v>1032</v>
      </c>
      <c r="L496" s="14" t="s">
        <v>38</v>
      </c>
      <c r="M496" s="49"/>
    </row>
    <row r="497" spans="1:13" ht="13.5" hidden="1" customHeight="1">
      <c r="A497" s="20">
        <f t="shared" si="6"/>
        <v>490</v>
      </c>
      <c r="B497" s="21" t="s">
        <v>1033</v>
      </c>
      <c r="C497" s="21"/>
      <c r="D497" s="1" t="s">
        <v>34</v>
      </c>
      <c r="E497" s="22"/>
      <c r="F497" s="23">
        <v>45336</v>
      </c>
      <c r="G497" s="24" t="s">
        <v>633</v>
      </c>
      <c r="H497" s="24" t="s">
        <v>634</v>
      </c>
      <c r="I497" s="25" t="s">
        <v>34</v>
      </c>
      <c r="J497" s="24" t="s">
        <v>34</v>
      </c>
      <c r="K497" s="25" t="s">
        <v>1032</v>
      </c>
      <c r="L497" s="20" t="s">
        <v>38</v>
      </c>
      <c r="M497" s="49"/>
    </row>
    <row r="498" spans="1:13" ht="13.5" hidden="1" customHeight="1">
      <c r="A498" s="14">
        <f t="shared" si="6"/>
        <v>491</v>
      </c>
      <c r="B498" s="15" t="s">
        <v>1034</v>
      </c>
      <c r="C498" s="15"/>
      <c r="D498" s="2" t="s">
        <v>1035</v>
      </c>
      <c r="E498" s="16" t="s">
        <v>34</v>
      </c>
      <c r="F498" s="17">
        <v>45336</v>
      </c>
      <c r="G498" s="18" t="s">
        <v>41</v>
      </c>
      <c r="H498" s="18" t="s">
        <v>36</v>
      </c>
      <c r="I498" s="19" t="s">
        <v>34</v>
      </c>
      <c r="J498" s="18" t="s">
        <v>981</v>
      </c>
      <c r="K498" s="19" t="s">
        <v>1036</v>
      </c>
      <c r="L498" s="14" t="s">
        <v>38</v>
      </c>
      <c r="M498" s="49"/>
    </row>
    <row r="499" spans="1:13" ht="13.5" hidden="1" customHeight="1">
      <c r="A499" s="14">
        <f t="shared" si="6"/>
        <v>492</v>
      </c>
      <c r="B499" s="15" t="s">
        <v>1037</v>
      </c>
      <c r="C499" s="15"/>
      <c r="D499" s="2" t="s">
        <v>1038</v>
      </c>
      <c r="E499" s="16" t="s">
        <v>34</v>
      </c>
      <c r="F499" s="17">
        <v>45336</v>
      </c>
      <c r="G499" s="18" t="s">
        <v>1039</v>
      </c>
      <c r="H499" s="18" t="s">
        <v>36</v>
      </c>
      <c r="I499" s="19" t="s">
        <v>34</v>
      </c>
      <c r="J499" s="18" t="s">
        <v>981</v>
      </c>
      <c r="K499" s="19" t="s">
        <v>1036</v>
      </c>
      <c r="L499" s="14" t="s">
        <v>38</v>
      </c>
      <c r="M499" s="49"/>
    </row>
    <row r="500" spans="1:13" ht="13.5" hidden="1" customHeight="1">
      <c r="A500" s="14">
        <f t="shared" si="6"/>
        <v>493</v>
      </c>
      <c r="B500" s="15" t="s">
        <v>1040</v>
      </c>
      <c r="C500" s="15"/>
      <c r="D500" s="2" t="s">
        <v>1041</v>
      </c>
      <c r="E500" s="16">
        <v>1</v>
      </c>
      <c r="F500" s="17">
        <v>45336</v>
      </c>
      <c r="G500" s="18" t="s">
        <v>152</v>
      </c>
      <c r="H500" s="18" t="s">
        <v>36</v>
      </c>
      <c r="I500" s="19">
        <v>12</v>
      </c>
      <c r="J500" s="18" t="s">
        <v>981</v>
      </c>
      <c r="K500" s="19" t="s">
        <v>1042</v>
      </c>
      <c r="L500" s="14" t="s">
        <v>38</v>
      </c>
      <c r="M500" s="49"/>
    </row>
    <row r="501" spans="1:13" ht="13.5" hidden="1" customHeight="1">
      <c r="A501" s="26">
        <f t="shared" si="6"/>
        <v>494</v>
      </c>
      <c r="B501" s="27" t="s">
        <v>1043</v>
      </c>
      <c r="C501" s="27"/>
      <c r="D501" s="28" t="s">
        <v>1041</v>
      </c>
      <c r="E501" s="29">
        <v>1</v>
      </c>
      <c r="F501" s="30">
        <v>45336</v>
      </c>
      <c r="G501" s="31" t="s">
        <v>152</v>
      </c>
      <c r="H501" s="31" t="s">
        <v>36</v>
      </c>
      <c r="I501" s="32">
        <v>12</v>
      </c>
      <c r="J501" s="31" t="s">
        <v>981</v>
      </c>
      <c r="K501" s="32" t="s">
        <v>1042</v>
      </c>
      <c r="L501" s="14" t="s">
        <v>38</v>
      </c>
      <c r="M501" s="49"/>
    </row>
    <row r="502" spans="1:13" ht="13.5" hidden="1" customHeight="1">
      <c r="A502" s="14">
        <f t="shared" si="6"/>
        <v>495</v>
      </c>
      <c r="B502" s="15" t="s">
        <v>1044</v>
      </c>
      <c r="C502" s="15"/>
      <c r="D502" s="2" t="s">
        <v>1045</v>
      </c>
      <c r="E502" s="16">
        <v>1</v>
      </c>
      <c r="F502" s="17">
        <v>45336</v>
      </c>
      <c r="G502" s="18" t="s">
        <v>145</v>
      </c>
      <c r="H502" s="18" t="s">
        <v>36</v>
      </c>
      <c r="I502" s="19">
        <v>21</v>
      </c>
      <c r="J502" s="18" t="s">
        <v>981</v>
      </c>
      <c r="K502" s="19" t="s">
        <v>1042</v>
      </c>
      <c r="L502" s="14" t="s">
        <v>38</v>
      </c>
      <c r="M502" s="49"/>
    </row>
    <row r="503" spans="1:13" ht="13.5" hidden="1" customHeight="1">
      <c r="A503" s="14">
        <f t="shared" si="6"/>
        <v>496</v>
      </c>
      <c r="B503" s="15" t="s">
        <v>1046</v>
      </c>
      <c r="C503" s="15"/>
      <c r="D503" s="2" t="s">
        <v>1047</v>
      </c>
      <c r="E503" s="16">
        <v>1</v>
      </c>
      <c r="F503" s="17">
        <v>45336</v>
      </c>
      <c r="G503" s="18" t="s">
        <v>145</v>
      </c>
      <c r="H503" s="18" t="s">
        <v>36</v>
      </c>
      <c r="I503" s="19">
        <v>164</v>
      </c>
      <c r="J503" s="18" t="s">
        <v>234</v>
      </c>
      <c r="K503" s="19" t="s">
        <v>1042</v>
      </c>
      <c r="L503" s="14" t="s">
        <v>38</v>
      </c>
      <c r="M503" s="49"/>
    </row>
    <row r="504" spans="1:13" ht="13.5" hidden="1" customHeight="1">
      <c r="A504" s="14">
        <f t="shared" si="6"/>
        <v>497</v>
      </c>
      <c r="B504" s="15" t="s">
        <v>1048</v>
      </c>
      <c r="C504" s="15"/>
      <c r="D504" s="2" t="s">
        <v>1049</v>
      </c>
      <c r="E504" s="16">
        <v>1</v>
      </c>
      <c r="F504" s="17">
        <v>45336</v>
      </c>
      <c r="G504" s="18" t="s">
        <v>152</v>
      </c>
      <c r="H504" s="18" t="s">
        <v>36</v>
      </c>
      <c r="I504" s="19">
        <v>28</v>
      </c>
      <c r="J504" s="18" t="s">
        <v>234</v>
      </c>
      <c r="K504" s="19" t="s">
        <v>1042</v>
      </c>
      <c r="L504" s="14" t="s">
        <v>38</v>
      </c>
      <c r="M504" s="49"/>
    </row>
    <row r="505" spans="1:13" ht="13.5" hidden="1" customHeight="1">
      <c r="A505" s="14">
        <f t="shared" si="6"/>
        <v>498</v>
      </c>
      <c r="B505" s="15" t="s">
        <v>1050</v>
      </c>
      <c r="C505" s="15"/>
      <c r="D505" s="2" t="s">
        <v>1051</v>
      </c>
      <c r="E505" s="16" t="s">
        <v>34</v>
      </c>
      <c r="F505" s="17">
        <v>45336</v>
      </c>
      <c r="G505" s="18" t="s">
        <v>41</v>
      </c>
      <c r="H505" s="18" t="s">
        <v>36</v>
      </c>
      <c r="I505" s="19" t="s">
        <v>34</v>
      </c>
      <c r="J505" s="18" t="s">
        <v>234</v>
      </c>
      <c r="K505" s="19" t="s">
        <v>1052</v>
      </c>
      <c r="L505" s="14" t="s">
        <v>38</v>
      </c>
      <c r="M505" s="49"/>
    </row>
    <row r="506" spans="1:13" ht="13.5" hidden="1" customHeight="1">
      <c r="A506" s="14">
        <f t="shared" si="6"/>
        <v>499</v>
      </c>
      <c r="B506" s="15" t="s">
        <v>1053</v>
      </c>
      <c r="C506" s="15"/>
      <c r="D506" s="2" t="s">
        <v>1054</v>
      </c>
      <c r="E506" s="16">
        <v>1</v>
      </c>
      <c r="F506" s="17">
        <v>45336</v>
      </c>
      <c r="G506" s="18" t="s">
        <v>152</v>
      </c>
      <c r="H506" s="18" t="s">
        <v>36</v>
      </c>
      <c r="I506" s="19">
        <v>28</v>
      </c>
      <c r="J506" s="18" t="s">
        <v>234</v>
      </c>
      <c r="K506" s="19" t="s">
        <v>1052</v>
      </c>
      <c r="L506" s="14" t="s">
        <v>38</v>
      </c>
      <c r="M506" s="49"/>
    </row>
    <row r="507" spans="1:13" ht="13.5" hidden="1" customHeight="1">
      <c r="A507" s="14">
        <f t="shared" si="6"/>
        <v>500</v>
      </c>
      <c r="B507" s="15" t="s">
        <v>1055</v>
      </c>
      <c r="C507" s="15"/>
      <c r="D507" s="2" t="s">
        <v>1056</v>
      </c>
      <c r="E507" s="16">
        <v>3</v>
      </c>
      <c r="F507" s="17">
        <v>45336</v>
      </c>
      <c r="G507" s="18" t="s">
        <v>41</v>
      </c>
      <c r="H507" s="18" t="s">
        <v>36</v>
      </c>
      <c r="I507" s="19" t="s">
        <v>34</v>
      </c>
      <c r="J507" s="18" t="s">
        <v>234</v>
      </c>
      <c r="K507" s="19" t="s">
        <v>1057</v>
      </c>
      <c r="L507" s="14" t="s">
        <v>38</v>
      </c>
      <c r="M507" s="49"/>
    </row>
    <row r="508" spans="1:13" ht="13.5" hidden="1" customHeight="1">
      <c r="A508" s="14">
        <f t="shared" si="6"/>
        <v>501</v>
      </c>
      <c r="B508" s="15" t="s">
        <v>1058</v>
      </c>
      <c r="C508" s="15"/>
      <c r="D508" s="2" t="s">
        <v>1059</v>
      </c>
      <c r="E508" s="16" t="s">
        <v>34</v>
      </c>
      <c r="F508" s="17">
        <v>45336</v>
      </c>
      <c r="G508" s="18" t="s">
        <v>609</v>
      </c>
      <c r="H508" s="18" t="s">
        <v>36</v>
      </c>
      <c r="I508" s="19">
        <v>82</v>
      </c>
      <c r="J508" s="18" t="s">
        <v>234</v>
      </c>
      <c r="K508" s="19" t="s">
        <v>1060</v>
      </c>
      <c r="L508" s="14" t="s">
        <v>38</v>
      </c>
      <c r="M508" s="49"/>
    </row>
    <row r="509" spans="1:13" ht="13.5" hidden="1" customHeight="1">
      <c r="A509" s="20">
        <f t="shared" si="6"/>
        <v>502</v>
      </c>
      <c r="B509" s="21" t="s">
        <v>1061</v>
      </c>
      <c r="C509" s="21"/>
      <c r="D509" s="1" t="s">
        <v>34</v>
      </c>
      <c r="E509" s="22"/>
      <c r="F509" s="23">
        <v>45336</v>
      </c>
      <c r="G509" s="24" t="s">
        <v>633</v>
      </c>
      <c r="H509" s="24" t="s">
        <v>634</v>
      </c>
      <c r="I509" s="25" t="s">
        <v>34</v>
      </c>
      <c r="J509" s="24" t="s">
        <v>34</v>
      </c>
      <c r="K509" s="25" t="s">
        <v>1062</v>
      </c>
      <c r="L509" s="20" t="s">
        <v>38</v>
      </c>
      <c r="M509" s="49"/>
    </row>
    <row r="510" spans="1:13" ht="13.5" hidden="1" customHeight="1">
      <c r="A510" s="14">
        <f t="shared" si="6"/>
        <v>503</v>
      </c>
      <c r="B510" s="15" t="s">
        <v>1063</v>
      </c>
      <c r="C510" s="15"/>
      <c r="D510" s="2" t="s">
        <v>1064</v>
      </c>
      <c r="E510" s="16">
        <v>2</v>
      </c>
      <c r="F510" s="17">
        <v>45336</v>
      </c>
      <c r="G510" s="18" t="s">
        <v>41</v>
      </c>
      <c r="H510" s="18" t="s">
        <v>36</v>
      </c>
      <c r="I510" s="19">
        <v>1</v>
      </c>
      <c r="J510" s="18" t="s">
        <v>234</v>
      </c>
      <c r="K510" s="19" t="s">
        <v>1065</v>
      </c>
      <c r="L510" s="14" t="s">
        <v>38</v>
      </c>
      <c r="M510" s="49"/>
    </row>
    <row r="511" spans="1:13" ht="13.5" hidden="1" customHeight="1">
      <c r="A511" s="14">
        <f t="shared" si="6"/>
        <v>504</v>
      </c>
      <c r="B511" s="15" t="s">
        <v>1066</v>
      </c>
      <c r="C511" s="15"/>
      <c r="D511" s="2" t="s">
        <v>1067</v>
      </c>
      <c r="E511" s="16">
        <v>2</v>
      </c>
      <c r="F511" s="17">
        <v>45336</v>
      </c>
      <c r="G511" s="18" t="s">
        <v>152</v>
      </c>
      <c r="H511" s="18" t="s">
        <v>36</v>
      </c>
      <c r="I511" s="19">
        <v>33</v>
      </c>
      <c r="J511" s="18" t="s">
        <v>234</v>
      </c>
      <c r="K511" s="19" t="s">
        <v>1068</v>
      </c>
      <c r="L511" s="14" t="s">
        <v>38</v>
      </c>
      <c r="M511" s="49"/>
    </row>
    <row r="512" spans="1:13" ht="13.5" hidden="1" customHeight="1">
      <c r="A512" s="14">
        <f t="shared" si="6"/>
        <v>505</v>
      </c>
      <c r="B512" s="15" t="s">
        <v>1069</v>
      </c>
      <c r="C512" s="15"/>
      <c r="D512" s="2" t="s">
        <v>1070</v>
      </c>
      <c r="E512" s="16" t="s">
        <v>34</v>
      </c>
      <c r="F512" s="17">
        <v>45336</v>
      </c>
      <c r="G512" s="18" t="s">
        <v>1031</v>
      </c>
      <c r="H512" s="18" t="s">
        <v>36</v>
      </c>
      <c r="I512" s="19">
        <v>27</v>
      </c>
      <c r="J512" s="18" t="s">
        <v>234</v>
      </c>
      <c r="K512" s="19" t="s">
        <v>1071</v>
      </c>
      <c r="L512" s="14" t="s">
        <v>38</v>
      </c>
      <c r="M512" s="49"/>
    </row>
    <row r="513" spans="1:13" ht="13.5" hidden="1" customHeight="1">
      <c r="A513" s="14">
        <f t="shared" si="6"/>
        <v>506</v>
      </c>
      <c r="B513" s="15" t="s">
        <v>1072</v>
      </c>
      <c r="C513" s="15"/>
      <c r="D513" s="2" t="s">
        <v>1073</v>
      </c>
      <c r="E513" s="16" t="s">
        <v>34</v>
      </c>
      <c r="F513" s="17">
        <v>45336</v>
      </c>
      <c r="G513" s="18" t="s">
        <v>1031</v>
      </c>
      <c r="H513" s="18" t="s">
        <v>36</v>
      </c>
      <c r="I513" s="19">
        <v>28</v>
      </c>
      <c r="J513" s="18" t="s">
        <v>234</v>
      </c>
      <c r="K513" s="19" t="s">
        <v>1071</v>
      </c>
      <c r="L513" s="14" t="s">
        <v>38</v>
      </c>
      <c r="M513" s="49"/>
    </row>
    <row r="514" spans="1:13" ht="13.5" hidden="1" customHeight="1">
      <c r="A514" s="14">
        <f t="shared" si="6"/>
        <v>507</v>
      </c>
      <c r="B514" s="15" t="s">
        <v>1074</v>
      </c>
      <c r="C514" s="15"/>
      <c r="D514" s="2" t="s">
        <v>1075</v>
      </c>
      <c r="E514" s="16">
        <v>12</v>
      </c>
      <c r="F514" s="17">
        <v>45336</v>
      </c>
      <c r="G514" s="18" t="s">
        <v>1031</v>
      </c>
      <c r="H514" s="18" t="s">
        <v>36</v>
      </c>
      <c r="I514" s="19">
        <v>40</v>
      </c>
      <c r="J514" s="18" t="s">
        <v>234</v>
      </c>
      <c r="K514" s="19" t="s">
        <v>1071</v>
      </c>
      <c r="L514" s="14" t="s">
        <v>38</v>
      </c>
      <c r="M514" s="49"/>
    </row>
    <row r="515" spans="1:13" ht="13.5" hidden="1" customHeight="1">
      <c r="A515" s="14">
        <f t="shared" si="6"/>
        <v>508</v>
      </c>
      <c r="B515" s="15" t="s">
        <v>1076</v>
      </c>
      <c r="C515" s="15"/>
      <c r="D515" s="2" t="s">
        <v>1077</v>
      </c>
      <c r="E515" s="16">
        <v>1</v>
      </c>
      <c r="F515" s="17">
        <v>45336</v>
      </c>
      <c r="G515" s="18" t="s">
        <v>152</v>
      </c>
      <c r="H515" s="18" t="s">
        <v>36</v>
      </c>
      <c r="I515" s="19">
        <v>39</v>
      </c>
      <c r="J515" s="18" t="s">
        <v>981</v>
      </c>
      <c r="K515" s="19" t="s">
        <v>1078</v>
      </c>
      <c r="L515" s="14" t="s">
        <v>38</v>
      </c>
      <c r="M515" s="49"/>
    </row>
    <row r="516" spans="1:13" ht="13.5" hidden="1" customHeight="1">
      <c r="A516" s="14">
        <f t="shared" ref="A516:A579" si="7">ROW()-7</f>
        <v>509</v>
      </c>
      <c r="B516" s="15" t="s">
        <v>1079</v>
      </c>
      <c r="C516" s="15"/>
      <c r="D516" s="2" t="s">
        <v>1080</v>
      </c>
      <c r="E516" s="16">
        <v>1</v>
      </c>
      <c r="F516" s="17">
        <v>45336</v>
      </c>
      <c r="G516" s="18" t="s">
        <v>152</v>
      </c>
      <c r="H516" s="18" t="s">
        <v>36</v>
      </c>
      <c r="I516" s="19">
        <v>12</v>
      </c>
      <c r="J516" s="18" t="s">
        <v>981</v>
      </c>
      <c r="K516" s="19" t="s">
        <v>1078</v>
      </c>
      <c r="L516" s="14" t="s">
        <v>38</v>
      </c>
      <c r="M516" s="49"/>
    </row>
    <row r="517" spans="1:13" ht="13.5" hidden="1" customHeight="1">
      <c r="A517" s="14">
        <f t="shared" si="7"/>
        <v>510</v>
      </c>
      <c r="B517" s="15" t="s">
        <v>1081</v>
      </c>
      <c r="C517" s="15"/>
      <c r="D517" s="2" t="s">
        <v>1082</v>
      </c>
      <c r="E517" s="16">
        <v>7</v>
      </c>
      <c r="F517" s="17">
        <v>45336</v>
      </c>
      <c r="G517" s="18" t="s">
        <v>152</v>
      </c>
      <c r="H517" s="18" t="s">
        <v>36</v>
      </c>
      <c r="I517" s="19">
        <v>4</v>
      </c>
      <c r="J517" s="18" t="s">
        <v>234</v>
      </c>
      <c r="K517" s="19" t="s">
        <v>1078</v>
      </c>
      <c r="L517" s="14" t="s">
        <v>38</v>
      </c>
      <c r="M517" s="49"/>
    </row>
    <row r="518" spans="1:13" ht="13.5" hidden="1" customHeight="1">
      <c r="A518" s="14">
        <f t="shared" si="7"/>
        <v>511</v>
      </c>
      <c r="B518" s="15" t="s">
        <v>1083</v>
      </c>
      <c r="C518" s="15"/>
      <c r="D518" s="2" t="s">
        <v>1084</v>
      </c>
      <c r="E518" s="16">
        <v>5</v>
      </c>
      <c r="F518" s="17">
        <v>45336</v>
      </c>
      <c r="G518" s="18" t="s">
        <v>152</v>
      </c>
      <c r="H518" s="18" t="s">
        <v>36</v>
      </c>
      <c r="I518" s="19">
        <v>7</v>
      </c>
      <c r="J518" s="18" t="s">
        <v>234</v>
      </c>
      <c r="K518" s="19" t="s">
        <v>1078</v>
      </c>
      <c r="L518" s="14" t="s">
        <v>38</v>
      </c>
      <c r="M518" s="49"/>
    </row>
    <row r="519" spans="1:13" ht="13.5" hidden="1" customHeight="1">
      <c r="A519" s="14">
        <f t="shared" si="7"/>
        <v>512</v>
      </c>
      <c r="B519" s="15" t="s">
        <v>1085</v>
      </c>
      <c r="C519" s="15"/>
      <c r="D519" s="2" t="s">
        <v>1086</v>
      </c>
      <c r="E519" s="16">
        <v>7</v>
      </c>
      <c r="F519" s="17">
        <v>45336</v>
      </c>
      <c r="G519" s="18" t="s">
        <v>152</v>
      </c>
      <c r="H519" s="18" t="s">
        <v>36</v>
      </c>
      <c r="I519" s="19">
        <v>16</v>
      </c>
      <c r="J519" s="18" t="s">
        <v>234</v>
      </c>
      <c r="K519" s="19" t="s">
        <v>1078</v>
      </c>
      <c r="L519" s="14" t="s">
        <v>38</v>
      </c>
      <c r="M519" s="49"/>
    </row>
    <row r="520" spans="1:13" ht="13.5" hidden="1" customHeight="1">
      <c r="A520" s="14">
        <f t="shared" si="7"/>
        <v>513</v>
      </c>
      <c r="B520" s="15" t="s">
        <v>1087</v>
      </c>
      <c r="C520" s="15"/>
      <c r="D520" s="2" t="s">
        <v>1088</v>
      </c>
      <c r="E520" s="16">
        <v>0</v>
      </c>
      <c r="F520" s="17">
        <v>45336</v>
      </c>
      <c r="G520" s="18" t="s">
        <v>152</v>
      </c>
      <c r="H520" s="18" t="s">
        <v>36</v>
      </c>
      <c r="I520" s="19">
        <v>24</v>
      </c>
      <c r="J520" s="18" t="s">
        <v>234</v>
      </c>
      <c r="K520" s="19" t="s">
        <v>1078</v>
      </c>
      <c r="L520" s="14" t="s">
        <v>38</v>
      </c>
      <c r="M520" s="49"/>
    </row>
    <row r="521" spans="1:13" ht="13.5" hidden="1" customHeight="1">
      <c r="A521" s="14">
        <f t="shared" si="7"/>
        <v>514</v>
      </c>
      <c r="B521" s="15" t="s">
        <v>1089</v>
      </c>
      <c r="C521" s="15"/>
      <c r="D521" s="2" t="s">
        <v>1090</v>
      </c>
      <c r="E521" s="16">
        <v>11</v>
      </c>
      <c r="F521" s="17">
        <v>45336</v>
      </c>
      <c r="G521" s="18" t="s">
        <v>152</v>
      </c>
      <c r="H521" s="18" t="s">
        <v>36</v>
      </c>
      <c r="I521" s="19">
        <v>39</v>
      </c>
      <c r="J521" s="18" t="s">
        <v>234</v>
      </c>
      <c r="K521" s="19" t="s">
        <v>1078</v>
      </c>
      <c r="L521" s="14" t="s">
        <v>38</v>
      </c>
      <c r="M521" s="49"/>
    </row>
    <row r="522" spans="1:13" ht="13.5" hidden="1" customHeight="1">
      <c r="A522" s="20">
        <f t="shared" si="7"/>
        <v>515</v>
      </c>
      <c r="B522" s="21" t="s">
        <v>1091</v>
      </c>
      <c r="C522" s="21"/>
      <c r="D522" s="1" t="s">
        <v>34</v>
      </c>
      <c r="E522" s="22"/>
      <c r="F522" s="23">
        <v>45336</v>
      </c>
      <c r="G522" s="24" t="s">
        <v>633</v>
      </c>
      <c r="H522" s="24" t="s">
        <v>634</v>
      </c>
      <c r="I522" s="25" t="s">
        <v>34</v>
      </c>
      <c r="J522" s="24" t="s">
        <v>34</v>
      </c>
      <c r="K522" s="25" t="s">
        <v>1078</v>
      </c>
      <c r="L522" s="20" t="s">
        <v>38</v>
      </c>
      <c r="M522" s="49"/>
    </row>
    <row r="523" spans="1:13" ht="13.5" hidden="1" customHeight="1">
      <c r="A523" s="14">
        <f t="shared" si="7"/>
        <v>516</v>
      </c>
      <c r="B523" s="15" t="s">
        <v>1092</v>
      </c>
      <c r="C523" s="15"/>
      <c r="D523" s="2" t="s">
        <v>1093</v>
      </c>
      <c r="E523" s="16">
        <v>1</v>
      </c>
      <c r="F523" s="17">
        <v>45336</v>
      </c>
      <c r="G523" s="18" t="s">
        <v>152</v>
      </c>
      <c r="H523" s="18" t="s">
        <v>36</v>
      </c>
      <c r="I523" s="19">
        <v>11</v>
      </c>
      <c r="J523" s="18" t="s">
        <v>234</v>
      </c>
      <c r="K523" s="19" t="s">
        <v>1078</v>
      </c>
      <c r="L523" s="14" t="s">
        <v>38</v>
      </c>
      <c r="M523" s="49"/>
    </row>
    <row r="524" spans="1:13" ht="13.5" hidden="1" customHeight="1">
      <c r="A524" s="26">
        <f t="shared" si="7"/>
        <v>517</v>
      </c>
      <c r="B524" s="27" t="s">
        <v>1050</v>
      </c>
      <c r="C524" s="27"/>
      <c r="D524" s="28" t="s">
        <v>1051</v>
      </c>
      <c r="E524" s="29" t="s">
        <v>34</v>
      </c>
      <c r="F524" s="30">
        <v>45336</v>
      </c>
      <c r="G524" s="31" t="s">
        <v>41</v>
      </c>
      <c r="H524" s="31" t="s">
        <v>36</v>
      </c>
      <c r="I524" s="32" t="s">
        <v>34</v>
      </c>
      <c r="J524" s="31" t="s">
        <v>234</v>
      </c>
      <c r="K524" s="32" t="s">
        <v>1078</v>
      </c>
      <c r="L524" s="14" t="s">
        <v>38</v>
      </c>
      <c r="M524" s="49"/>
    </row>
    <row r="525" spans="1:13" ht="13.5" hidden="1" customHeight="1">
      <c r="A525" s="14">
        <f t="shared" si="7"/>
        <v>518</v>
      </c>
      <c r="B525" s="15" t="s">
        <v>1094</v>
      </c>
      <c r="C525" s="15"/>
      <c r="D525" s="2" t="s">
        <v>1095</v>
      </c>
      <c r="E525" s="16">
        <v>9</v>
      </c>
      <c r="F525" s="17">
        <v>45336</v>
      </c>
      <c r="G525" s="18" t="s">
        <v>1031</v>
      </c>
      <c r="H525" s="18" t="s">
        <v>36</v>
      </c>
      <c r="I525" s="19">
        <v>38</v>
      </c>
      <c r="J525" s="18" t="s">
        <v>234</v>
      </c>
      <c r="K525" s="19" t="s">
        <v>1078</v>
      </c>
      <c r="L525" s="14" t="s">
        <v>38</v>
      </c>
      <c r="M525" s="49"/>
    </row>
    <row r="526" spans="1:13" ht="13.5" hidden="1" customHeight="1">
      <c r="A526" s="20">
        <f t="shared" si="7"/>
        <v>519</v>
      </c>
      <c r="B526" s="21" t="s">
        <v>1096</v>
      </c>
      <c r="C526" s="21"/>
      <c r="D526" s="1" t="s">
        <v>34</v>
      </c>
      <c r="E526" s="22"/>
      <c r="F526" s="23">
        <v>45336</v>
      </c>
      <c r="G526" s="24" t="s">
        <v>633</v>
      </c>
      <c r="H526" s="24" t="s">
        <v>634</v>
      </c>
      <c r="I526" s="25" t="s">
        <v>34</v>
      </c>
      <c r="J526" s="24" t="s">
        <v>34</v>
      </c>
      <c r="K526" s="25" t="s">
        <v>1078</v>
      </c>
      <c r="L526" s="20" t="s">
        <v>38</v>
      </c>
      <c r="M526" s="49"/>
    </row>
    <row r="527" spans="1:13" ht="13.5" hidden="1" customHeight="1">
      <c r="A527" s="14">
        <f t="shared" si="7"/>
        <v>520</v>
      </c>
      <c r="B527" s="15" t="s">
        <v>1097</v>
      </c>
      <c r="C527" s="15"/>
      <c r="D527" s="2" t="s">
        <v>1098</v>
      </c>
      <c r="E527" s="16">
        <v>0</v>
      </c>
      <c r="F527" s="17">
        <v>45336</v>
      </c>
      <c r="G527" s="18" t="s">
        <v>10</v>
      </c>
      <c r="H527" s="18" t="s">
        <v>36</v>
      </c>
      <c r="I527" s="19">
        <v>46</v>
      </c>
      <c r="J527" s="18" t="s">
        <v>234</v>
      </c>
      <c r="K527" s="19" t="s">
        <v>1078</v>
      </c>
      <c r="L527" s="14" t="s">
        <v>38</v>
      </c>
      <c r="M527" s="49"/>
    </row>
    <row r="528" spans="1:13" ht="13.5" hidden="1" customHeight="1">
      <c r="A528" s="14">
        <f t="shared" si="7"/>
        <v>521</v>
      </c>
      <c r="B528" s="15" t="s">
        <v>1099</v>
      </c>
      <c r="C528" s="15"/>
      <c r="D528" s="2" t="s">
        <v>1100</v>
      </c>
      <c r="E528" s="16">
        <v>5</v>
      </c>
      <c r="F528" s="17">
        <v>45336</v>
      </c>
      <c r="G528" s="18" t="s">
        <v>152</v>
      </c>
      <c r="H528" s="18" t="s">
        <v>36</v>
      </c>
      <c r="I528" s="19">
        <v>35</v>
      </c>
      <c r="J528" s="18" t="s">
        <v>234</v>
      </c>
      <c r="K528" s="19" t="s">
        <v>1078</v>
      </c>
      <c r="L528" s="14" t="s">
        <v>38</v>
      </c>
      <c r="M528" s="49"/>
    </row>
    <row r="529" spans="1:13" ht="13.5" hidden="1" customHeight="1">
      <c r="A529" s="14">
        <f t="shared" si="7"/>
        <v>522</v>
      </c>
      <c r="B529" s="15" t="s">
        <v>1101</v>
      </c>
      <c r="C529" s="15"/>
      <c r="D529" s="2" t="s">
        <v>1102</v>
      </c>
      <c r="E529" s="16">
        <v>2</v>
      </c>
      <c r="F529" s="17">
        <v>45336</v>
      </c>
      <c r="G529" s="18" t="s">
        <v>152</v>
      </c>
      <c r="H529" s="18" t="s">
        <v>36</v>
      </c>
      <c r="I529" s="19">
        <v>23</v>
      </c>
      <c r="J529" s="18" t="s">
        <v>234</v>
      </c>
      <c r="K529" s="19" t="s">
        <v>1078</v>
      </c>
      <c r="L529" s="14" t="s">
        <v>38</v>
      </c>
      <c r="M529" s="49"/>
    </row>
    <row r="530" spans="1:13" ht="13.5" hidden="1" customHeight="1">
      <c r="A530" s="14">
        <f t="shared" si="7"/>
        <v>523</v>
      </c>
      <c r="B530" s="15" t="s">
        <v>1103</v>
      </c>
      <c r="C530" s="15"/>
      <c r="D530" s="2" t="s">
        <v>1103</v>
      </c>
      <c r="E530" s="16">
        <v>3</v>
      </c>
      <c r="F530" s="17">
        <v>45336</v>
      </c>
      <c r="G530" s="18" t="s">
        <v>152</v>
      </c>
      <c r="H530" s="18" t="s">
        <v>36</v>
      </c>
      <c r="I530" s="19">
        <v>19</v>
      </c>
      <c r="J530" s="18" t="s">
        <v>234</v>
      </c>
      <c r="K530" s="19" t="s">
        <v>1078</v>
      </c>
      <c r="L530" s="14" t="s">
        <v>38</v>
      </c>
      <c r="M530" s="49"/>
    </row>
    <row r="531" spans="1:13" ht="13.5" hidden="1" customHeight="1">
      <c r="A531" s="14">
        <f t="shared" si="7"/>
        <v>524</v>
      </c>
      <c r="B531" s="15" t="s">
        <v>1104</v>
      </c>
      <c r="C531" s="15"/>
      <c r="D531" s="2" t="s">
        <v>1104</v>
      </c>
      <c r="E531" s="16">
        <v>0</v>
      </c>
      <c r="F531" s="17">
        <v>45336</v>
      </c>
      <c r="G531" s="18" t="s">
        <v>152</v>
      </c>
      <c r="H531" s="18" t="s">
        <v>36</v>
      </c>
      <c r="I531" s="19">
        <v>16</v>
      </c>
      <c r="J531" s="18" t="s">
        <v>234</v>
      </c>
      <c r="K531" s="19" t="s">
        <v>1078</v>
      </c>
      <c r="L531" s="14" t="s">
        <v>38</v>
      </c>
      <c r="M531" s="49"/>
    </row>
    <row r="532" spans="1:13" ht="13.5" hidden="1" customHeight="1">
      <c r="A532" s="14">
        <f t="shared" si="7"/>
        <v>525</v>
      </c>
      <c r="B532" s="15" t="s">
        <v>1105</v>
      </c>
      <c r="C532" s="15"/>
      <c r="D532" s="2" t="s">
        <v>1105</v>
      </c>
      <c r="E532" s="16">
        <v>4</v>
      </c>
      <c r="F532" s="17">
        <v>45336</v>
      </c>
      <c r="G532" s="18" t="s">
        <v>152</v>
      </c>
      <c r="H532" s="18" t="s">
        <v>36</v>
      </c>
      <c r="I532" s="19">
        <v>20</v>
      </c>
      <c r="J532" s="18" t="s">
        <v>234</v>
      </c>
      <c r="K532" s="19" t="s">
        <v>1078</v>
      </c>
      <c r="L532" s="14" t="s">
        <v>38</v>
      </c>
      <c r="M532" s="49"/>
    </row>
    <row r="533" spans="1:13" ht="13.5" hidden="1" customHeight="1">
      <c r="A533" s="14">
        <f t="shared" si="7"/>
        <v>526</v>
      </c>
      <c r="B533" s="15" t="s">
        <v>1106</v>
      </c>
      <c r="C533" s="15"/>
      <c r="D533" s="2" t="s">
        <v>1107</v>
      </c>
      <c r="E533" s="16" t="s">
        <v>34</v>
      </c>
      <c r="F533" s="17">
        <v>45336</v>
      </c>
      <c r="G533" s="18" t="s">
        <v>1108</v>
      </c>
      <c r="H533" s="18" t="s">
        <v>36</v>
      </c>
      <c r="I533" s="19">
        <v>2</v>
      </c>
      <c r="J533" s="18" t="s">
        <v>37</v>
      </c>
      <c r="K533" s="19" t="s">
        <v>1109</v>
      </c>
      <c r="L533" s="14" t="s">
        <v>38</v>
      </c>
      <c r="M533" s="49"/>
    </row>
    <row r="534" spans="1:13" ht="13.5" hidden="1" customHeight="1">
      <c r="A534" s="14">
        <f t="shared" si="7"/>
        <v>527</v>
      </c>
      <c r="B534" s="15" t="s">
        <v>1110</v>
      </c>
      <c r="C534" s="15"/>
      <c r="D534" s="2" t="s">
        <v>1111</v>
      </c>
      <c r="E534" s="16">
        <v>3</v>
      </c>
      <c r="F534" s="17">
        <v>45336</v>
      </c>
      <c r="G534" s="18" t="s">
        <v>1031</v>
      </c>
      <c r="H534" s="18" t="s">
        <v>36</v>
      </c>
      <c r="I534" s="19">
        <v>69</v>
      </c>
      <c r="J534" s="18" t="s">
        <v>37</v>
      </c>
      <c r="K534" s="19" t="s">
        <v>1109</v>
      </c>
      <c r="L534" s="14" t="s">
        <v>38</v>
      </c>
      <c r="M534" s="49"/>
    </row>
    <row r="535" spans="1:13" ht="13.5" hidden="1" customHeight="1">
      <c r="A535" s="14">
        <f t="shared" si="7"/>
        <v>528</v>
      </c>
      <c r="B535" s="15" t="s">
        <v>1112</v>
      </c>
      <c r="C535" s="15"/>
      <c r="D535" s="2" t="s">
        <v>1113</v>
      </c>
      <c r="E535" s="16" t="s">
        <v>34</v>
      </c>
      <c r="F535" s="17">
        <v>45336</v>
      </c>
      <c r="G535" s="18" t="s">
        <v>668</v>
      </c>
      <c r="H535" s="18" t="s">
        <v>36</v>
      </c>
      <c r="I535" s="19">
        <v>4</v>
      </c>
      <c r="J535" s="18" t="s">
        <v>37</v>
      </c>
      <c r="K535" s="19" t="s">
        <v>1109</v>
      </c>
      <c r="L535" s="14" t="s">
        <v>38</v>
      </c>
      <c r="M535" s="49"/>
    </row>
    <row r="536" spans="1:13" ht="13.5" hidden="1" customHeight="1">
      <c r="A536" s="14">
        <f t="shared" si="7"/>
        <v>529</v>
      </c>
      <c r="B536" s="15" t="s">
        <v>1114</v>
      </c>
      <c r="C536" s="15"/>
      <c r="D536" s="2" t="s">
        <v>1115</v>
      </c>
      <c r="E536" s="16" t="s">
        <v>34</v>
      </c>
      <c r="F536" s="17">
        <v>45336</v>
      </c>
      <c r="G536" s="18" t="s">
        <v>41</v>
      </c>
      <c r="H536" s="18" t="s">
        <v>36</v>
      </c>
      <c r="I536" s="19">
        <v>2</v>
      </c>
      <c r="J536" s="18" t="s">
        <v>234</v>
      </c>
      <c r="K536" s="19" t="s">
        <v>1116</v>
      </c>
      <c r="L536" s="14" t="s">
        <v>38</v>
      </c>
      <c r="M536" s="49"/>
    </row>
    <row r="537" spans="1:13" ht="13.5" hidden="1" customHeight="1">
      <c r="A537" s="14">
        <f t="shared" si="7"/>
        <v>530</v>
      </c>
      <c r="B537" s="15" t="s">
        <v>1117</v>
      </c>
      <c r="C537" s="15"/>
      <c r="D537" s="2" t="s">
        <v>1118</v>
      </c>
      <c r="E537" s="16">
        <v>0</v>
      </c>
      <c r="F537" s="17">
        <v>45336</v>
      </c>
      <c r="G537" s="18" t="s">
        <v>686</v>
      </c>
      <c r="H537" s="18" t="s">
        <v>36</v>
      </c>
      <c r="I537" s="19">
        <v>6</v>
      </c>
      <c r="J537" s="18" t="s">
        <v>234</v>
      </c>
      <c r="K537" s="19" t="s">
        <v>1116</v>
      </c>
      <c r="L537" s="14" t="s">
        <v>38</v>
      </c>
      <c r="M537" s="49"/>
    </row>
    <row r="538" spans="1:13" ht="13.5" hidden="1" customHeight="1">
      <c r="A538" s="14">
        <f t="shared" si="7"/>
        <v>531</v>
      </c>
      <c r="B538" s="15" t="s">
        <v>1119</v>
      </c>
      <c r="C538" s="15"/>
      <c r="D538" s="2" t="s">
        <v>1120</v>
      </c>
      <c r="E538" s="16" t="s">
        <v>34</v>
      </c>
      <c r="F538" s="17">
        <v>45336</v>
      </c>
      <c r="G538" s="18" t="s">
        <v>668</v>
      </c>
      <c r="H538" s="18" t="s">
        <v>36</v>
      </c>
      <c r="I538" s="19">
        <v>54</v>
      </c>
      <c r="J538" s="18" t="s">
        <v>234</v>
      </c>
      <c r="K538" s="19" t="s">
        <v>1116</v>
      </c>
      <c r="L538" s="14" t="s">
        <v>38</v>
      </c>
      <c r="M538" s="49"/>
    </row>
    <row r="539" spans="1:13" ht="13.5" hidden="1" customHeight="1">
      <c r="A539" s="14">
        <f t="shared" si="7"/>
        <v>532</v>
      </c>
      <c r="B539" s="15" t="s">
        <v>1121</v>
      </c>
      <c r="C539" s="15"/>
      <c r="D539" s="2" t="s">
        <v>1122</v>
      </c>
      <c r="E539" s="16">
        <v>4</v>
      </c>
      <c r="F539" s="17">
        <v>45336</v>
      </c>
      <c r="G539" s="18" t="s">
        <v>152</v>
      </c>
      <c r="H539" s="18" t="s">
        <v>36</v>
      </c>
      <c r="I539" s="19">
        <v>9</v>
      </c>
      <c r="J539" s="18" t="s">
        <v>234</v>
      </c>
      <c r="K539" s="19" t="s">
        <v>1123</v>
      </c>
      <c r="L539" s="14" t="s">
        <v>38</v>
      </c>
      <c r="M539" s="49"/>
    </row>
    <row r="540" spans="1:13" ht="13.5" hidden="1" customHeight="1">
      <c r="A540" s="14">
        <f t="shared" si="7"/>
        <v>533</v>
      </c>
      <c r="B540" s="15" t="s">
        <v>1124</v>
      </c>
      <c r="C540" s="15"/>
      <c r="D540" s="2" t="s">
        <v>1125</v>
      </c>
      <c r="E540" s="16">
        <v>1</v>
      </c>
      <c r="F540" s="17">
        <v>45336</v>
      </c>
      <c r="G540" s="18" t="s">
        <v>94</v>
      </c>
      <c r="H540" s="18" t="s">
        <v>36</v>
      </c>
      <c r="I540" s="19">
        <v>13</v>
      </c>
      <c r="J540" s="18" t="s">
        <v>234</v>
      </c>
      <c r="K540" s="19" t="s">
        <v>1123</v>
      </c>
      <c r="L540" s="14" t="s">
        <v>38</v>
      </c>
      <c r="M540" s="49"/>
    </row>
    <row r="541" spans="1:13" ht="13.5" hidden="1" customHeight="1">
      <c r="A541" s="14">
        <f t="shared" si="7"/>
        <v>534</v>
      </c>
      <c r="B541" s="15" t="s">
        <v>1126</v>
      </c>
      <c r="C541" s="15"/>
      <c r="D541" s="2" t="s">
        <v>1127</v>
      </c>
      <c r="E541" s="16">
        <v>3</v>
      </c>
      <c r="F541" s="17">
        <v>45336</v>
      </c>
      <c r="G541" s="18" t="s">
        <v>609</v>
      </c>
      <c r="H541" s="18" t="s">
        <v>36</v>
      </c>
      <c r="I541" s="19">
        <v>5</v>
      </c>
      <c r="J541" s="18" t="s">
        <v>234</v>
      </c>
      <c r="K541" s="19" t="s">
        <v>1128</v>
      </c>
      <c r="L541" s="14" t="s">
        <v>38</v>
      </c>
      <c r="M541" s="49"/>
    </row>
    <row r="542" spans="1:13" ht="13.5" hidden="1" customHeight="1">
      <c r="A542" s="14">
        <f t="shared" si="7"/>
        <v>535</v>
      </c>
      <c r="B542" s="15" t="s">
        <v>1129</v>
      </c>
      <c r="C542" s="15"/>
      <c r="D542" s="2" t="s">
        <v>1129</v>
      </c>
      <c r="E542" s="16">
        <v>7</v>
      </c>
      <c r="F542" s="17">
        <v>45336</v>
      </c>
      <c r="G542" s="18" t="s">
        <v>152</v>
      </c>
      <c r="H542" s="18" t="s">
        <v>36</v>
      </c>
      <c r="I542" s="19">
        <v>13</v>
      </c>
      <c r="J542" s="18" t="s">
        <v>234</v>
      </c>
      <c r="K542" s="19" t="s">
        <v>1128</v>
      </c>
      <c r="L542" s="14" t="s">
        <v>38</v>
      </c>
      <c r="M542" s="49"/>
    </row>
    <row r="543" spans="1:13" ht="13.5" hidden="1" customHeight="1">
      <c r="A543" s="14">
        <f t="shared" si="7"/>
        <v>536</v>
      </c>
      <c r="B543" s="15" t="s">
        <v>1130</v>
      </c>
      <c r="C543" s="15"/>
      <c r="D543" s="2" t="s">
        <v>1131</v>
      </c>
      <c r="E543" s="16">
        <v>0</v>
      </c>
      <c r="F543" s="17">
        <v>45336</v>
      </c>
      <c r="G543" s="18" t="s">
        <v>10</v>
      </c>
      <c r="H543" s="18" t="s">
        <v>36</v>
      </c>
      <c r="I543" s="19">
        <v>15</v>
      </c>
      <c r="J543" s="18" t="s">
        <v>234</v>
      </c>
      <c r="K543" s="19" t="s">
        <v>1128</v>
      </c>
      <c r="L543" s="14" t="s">
        <v>38</v>
      </c>
      <c r="M543" s="49"/>
    </row>
    <row r="544" spans="1:13" ht="13.5" hidden="1" customHeight="1">
      <c r="A544" s="14">
        <f t="shared" si="7"/>
        <v>537</v>
      </c>
      <c r="B544" s="15" t="s">
        <v>1132</v>
      </c>
      <c r="C544" s="15"/>
      <c r="D544" s="2" t="s">
        <v>1133</v>
      </c>
      <c r="E544" s="16">
        <v>2</v>
      </c>
      <c r="F544" s="17">
        <v>45336</v>
      </c>
      <c r="G544" s="18" t="s">
        <v>152</v>
      </c>
      <c r="H544" s="18" t="s">
        <v>36</v>
      </c>
      <c r="I544" s="19">
        <v>12</v>
      </c>
      <c r="J544" s="18" t="s">
        <v>234</v>
      </c>
      <c r="K544" s="19" t="s">
        <v>1128</v>
      </c>
      <c r="L544" s="14" t="s">
        <v>38</v>
      </c>
      <c r="M544" s="49"/>
    </row>
    <row r="545" spans="1:13" ht="13.5" hidden="1" customHeight="1">
      <c r="A545" s="14">
        <f t="shared" si="7"/>
        <v>538</v>
      </c>
      <c r="B545" s="15" t="s">
        <v>1134</v>
      </c>
      <c r="C545" s="15"/>
      <c r="D545" s="2" t="s">
        <v>1135</v>
      </c>
      <c r="E545" s="16">
        <v>4</v>
      </c>
      <c r="F545" s="17">
        <v>45336</v>
      </c>
      <c r="G545" s="18" t="s">
        <v>152</v>
      </c>
      <c r="H545" s="18" t="s">
        <v>36</v>
      </c>
      <c r="I545" s="19">
        <v>22</v>
      </c>
      <c r="J545" s="18" t="s">
        <v>234</v>
      </c>
      <c r="K545" s="19" t="s">
        <v>1128</v>
      </c>
      <c r="L545" s="14" t="s">
        <v>38</v>
      </c>
      <c r="M545" s="49"/>
    </row>
    <row r="546" spans="1:13" ht="13.5" hidden="1" customHeight="1">
      <c r="A546" s="26">
        <f t="shared" si="7"/>
        <v>539</v>
      </c>
      <c r="B546" s="27" t="s">
        <v>1136</v>
      </c>
      <c r="C546" s="27"/>
      <c r="D546" s="28" t="s">
        <v>1135</v>
      </c>
      <c r="E546" s="29">
        <v>3</v>
      </c>
      <c r="F546" s="30">
        <v>45336</v>
      </c>
      <c r="G546" s="31" t="s">
        <v>152</v>
      </c>
      <c r="H546" s="31" t="s">
        <v>36</v>
      </c>
      <c r="I546" s="32">
        <v>22</v>
      </c>
      <c r="J546" s="31" t="s">
        <v>234</v>
      </c>
      <c r="K546" s="32" t="s">
        <v>1128</v>
      </c>
      <c r="L546" s="14" t="s">
        <v>38</v>
      </c>
      <c r="M546" s="49"/>
    </row>
    <row r="547" spans="1:13" ht="13.5" hidden="1" customHeight="1">
      <c r="A547" s="14">
        <f t="shared" si="7"/>
        <v>540</v>
      </c>
      <c r="B547" s="15" t="s">
        <v>1137</v>
      </c>
      <c r="C547" s="15"/>
      <c r="D547" s="2" t="s">
        <v>1138</v>
      </c>
      <c r="E547" s="16">
        <v>10</v>
      </c>
      <c r="F547" s="17">
        <v>45336</v>
      </c>
      <c r="G547" s="18" t="s">
        <v>152</v>
      </c>
      <c r="H547" s="18" t="s">
        <v>36</v>
      </c>
      <c r="I547" s="19">
        <v>17</v>
      </c>
      <c r="J547" s="18" t="s">
        <v>234</v>
      </c>
      <c r="K547" s="19" t="s">
        <v>1128</v>
      </c>
      <c r="L547" s="14" t="s">
        <v>38</v>
      </c>
      <c r="M547" s="49"/>
    </row>
    <row r="548" spans="1:13" ht="13.5" hidden="1" customHeight="1">
      <c r="A548" s="14">
        <f t="shared" si="7"/>
        <v>541</v>
      </c>
      <c r="B548" s="15" t="s">
        <v>1139</v>
      </c>
      <c r="C548" s="15"/>
      <c r="D548" s="2" t="s">
        <v>1140</v>
      </c>
      <c r="E548" s="16">
        <v>0</v>
      </c>
      <c r="F548" s="17">
        <v>45336</v>
      </c>
      <c r="G548" s="18" t="s">
        <v>152</v>
      </c>
      <c r="H548" s="18" t="s">
        <v>36</v>
      </c>
      <c r="I548" s="19">
        <v>36</v>
      </c>
      <c r="J548" s="18" t="s">
        <v>234</v>
      </c>
      <c r="K548" s="19" t="s">
        <v>1128</v>
      </c>
      <c r="L548" s="14" t="s">
        <v>38</v>
      </c>
      <c r="M548" s="49"/>
    </row>
    <row r="549" spans="1:13" ht="13.5" hidden="1" customHeight="1">
      <c r="A549" s="14">
        <f t="shared" si="7"/>
        <v>542</v>
      </c>
      <c r="B549" s="15" t="s">
        <v>1141</v>
      </c>
      <c r="C549" s="15"/>
      <c r="D549" s="2" t="s">
        <v>1142</v>
      </c>
      <c r="E549" s="16" t="s">
        <v>34</v>
      </c>
      <c r="F549" s="17">
        <v>45336</v>
      </c>
      <c r="G549" s="18" t="s">
        <v>94</v>
      </c>
      <c r="H549" s="18" t="s">
        <v>36</v>
      </c>
      <c r="I549" s="19">
        <v>4</v>
      </c>
      <c r="J549" s="18" t="s">
        <v>234</v>
      </c>
      <c r="K549" s="19" t="s">
        <v>1128</v>
      </c>
      <c r="L549" s="14" t="s">
        <v>38</v>
      </c>
      <c r="M549" s="49"/>
    </row>
    <row r="550" spans="1:13" ht="13.5" hidden="1" customHeight="1">
      <c r="A550" s="20">
        <f t="shared" si="7"/>
        <v>543</v>
      </c>
      <c r="B550" s="21" t="s">
        <v>1143</v>
      </c>
      <c r="C550" s="21"/>
      <c r="D550" s="1" t="s">
        <v>34</v>
      </c>
      <c r="E550" s="22"/>
      <c r="F550" s="23">
        <v>45336</v>
      </c>
      <c r="G550" s="24" t="s">
        <v>633</v>
      </c>
      <c r="H550" s="24" t="s">
        <v>634</v>
      </c>
      <c r="I550" s="25" t="s">
        <v>34</v>
      </c>
      <c r="J550" s="24" t="s">
        <v>34</v>
      </c>
      <c r="K550" s="25" t="s">
        <v>1128</v>
      </c>
      <c r="L550" s="20" t="s">
        <v>38</v>
      </c>
      <c r="M550" s="49"/>
    </row>
    <row r="551" spans="1:13" ht="13.5" hidden="1" customHeight="1">
      <c r="A551" s="14">
        <f t="shared" si="7"/>
        <v>544</v>
      </c>
      <c r="B551" s="15" t="s">
        <v>1144</v>
      </c>
      <c r="C551" s="15"/>
      <c r="D551" s="2" t="s">
        <v>1145</v>
      </c>
      <c r="E551" s="16">
        <v>7</v>
      </c>
      <c r="F551" s="17">
        <v>45336</v>
      </c>
      <c r="G551" s="18" t="s">
        <v>152</v>
      </c>
      <c r="H551" s="18" t="s">
        <v>36</v>
      </c>
      <c r="I551" s="19">
        <v>11</v>
      </c>
      <c r="J551" s="18" t="s">
        <v>234</v>
      </c>
      <c r="K551" s="19" t="s">
        <v>1146</v>
      </c>
      <c r="L551" s="14" t="s">
        <v>38</v>
      </c>
      <c r="M551" s="49"/>
    </row>
    <row r="552" spans="1:13" ht="13.5" hidden="1" customHeight="1">
      <c r="A552" s="14">
        <f t="shared" si="7"/>
        <v>545</v>
      </c>
      <c r="B552" s="15" t="s">
        <v>1147</v>
      </c>
      <c r="C552" s="15"/>
      <c r="D552" s="2" t="s">
        <v>1148</v>
      </c>
      <c r="E552" s="16">
        <v>3</v>
      </c>
      <c r="F552" s="17">
        <v>45336</v>
      </c>
      <c r="G552" s="18" t="s">
        <v>152</v>
      </c>
      <c r="H552" s="18" t="s">
        <v>36</v>
      </c>
      <c r="I552" s="19">
        <v>7</v>
      </c>
      <c r="J552" s="18" t="s">
        <v>234</v>
      </c>
      <c r="K552" s="19" t="s">
        <v>1146</v>
      </c>
      <c r="L552" s="14" t="s">
        <v>38</v>
      </c>
      <c r="M552" s="49"/>
    </row>
    <row r="553" spans="1:13" ht="13.5" hidden="1" customHeight="1">
      <c r="A553" s="14">
        <f t="shared" si="7"/>
        <v>546</v>
      </c>
      <c r="B553" s="15" t="s">
        <v>1149</v>
      </c>
      <c r="C553" s="15"/>
      <c r="D553" s="2" t="s">
        <v>1150</v>
      </c>
      <c r="E553" s="16">
        <v>3</v>
      </c>
      <c r="F553" s="17">
        <v>45336</v>
      </c>
      <c r="G553" s="18" t="s">
        <v>41</v>
      </c>
      <c r="H553" s="18" t="s">
        <v>36</v>
      </c>
      <c r="I553" s="19" t="s">
        <v>34</v>
      </c>
      <c r="J553" s="18" t="s">
        <v>234</v>
      </c>
      <c r="K553" s="19" t="s">
        <v>1146</v>
      </c>
      <c r="L553" s="14" t="s">
        <v>38</v>
      </c>
      <c r="M553" s="49"/>
    </row>
    <row r="554" spans="1:13" ht="13.5" hidden="1" customHeight="1">
      <c r="A554" s="14">
        <f t="shared" si="7"/>
        <v>547</v>
      </c>
      <c r="B554" s="15" t="s">
        <v>1151</v>
      </c>
      <c r="C554" s="15"/>
      <c r="D554" s="2" t="s">
        <v>1152</v>
      </c>
      <c r="E554" s="16">
        <v>3</v>
      </c>
      <c r="F554" s="17">
        <v>45336</v>
      </c>
      <c r="G554" s="18" t="s">
        <v>152</v>
      </c>
      <c r="H554" s="18" t="s">
        <v>36</v>
      </c>
      <c r="I554" s="19">
        <v>16</v>
      </c>
      <c r="J554" s="18" t="s">
        <v>234</v>
      </c>
      <c r="K554" s="19" t="s">
        <v>1146</v>
      </c>
      <c r="L554" s="14" t="s">
        <v>38</v>
      </c>
      <c r="M554" s="49"/>
    </row>
    <row r="555" spans="1:13" ht="13.5" hidden="1" customHeight="1">
      <c r="A555" s="14">
        <f t="shared" si="7"/>
        <v>548</v>
      </c>
      <c r="B555" s="15" t="s">
        <v>1153</v>
      </c>
      <c r="C555" s="15"/>
      <c r="D555" s="2" t="s">
        <v>1154</v>
      </c>
      <c r="E555" s="16">
        <v>1</v>
      </c>
      <c r="F555" s="17">
        <v>45336</v>
      </c>
      <c r="G555" s="18" t="s">
        <v>686</v>
      </c>
      <c r="H555" s="18" t="s">
        <v>36</v>
      </c>
      <c r="I555" s="19">
        <v>11</v>
      </c>
      <c r="J555" s="18" t="s">
        <v>234</v>
      </c>
      <c r="K555" s="19" t="s">
        <v>1155</v>
      </c>
      <c r="L555" s="14" t="s">
        <v>38</v>
      </c>
      <c r="M555" s="49"/>
    </row>
    <row r="556" spans="1:13" ht="13.5" hidden="1" customHeight="1">
      <c r="A556" s="14">
        <f t="shared" si="7"/>
        <v>549</v>
      </c>
      <c r="B556" s="15" t="s">
        <v>1156</v>
      </c>
      <c r="C556" s="15"/>
      <c r="D556" s="2" t="s">
        <v>1157</v>
      </c>
      <c r="E556" s="16">
        <v>7</v>
      </c>
      <c r="F556" s="17">
        <v>45336</v>
      </c>
      <c r="G556" s="18" t="s">
        <v>619</v>
      </c>
      <c r="H556" s="18" t="s">
        <v>36</v>
      </c>
      <c r="I556" s="19">
        <v>49</v>
      </c>
      <c r="J556" s="18" t="s">
        <v>234</v>
      </c>
      <c r="K556" s="19" t="s">
        <v>1155</v>
      </c>
      <c r="L556" s="14" t="s">
        <v>38</v>
      </c>
      <c r="M556" s="49"/>
    </row>
    <row r="557" spans="1:13" ht="13.5" hidden="1" customHeight="1">
      <c r="A557" s="14">
        <f t="shared" si="7"/>
        <v>550</v>
      </c>
      <c r="B557" s="15" t="s">
        <v>1158</v>
      </c>
      <c r="C557" s="15"/>
      <c r="D557" s="2" t="s">
        <v>1159</v>
      </c>
      <c r="E557" s="16">
        <v>1</v>
      </c>
      <c r="F557" s="17">
        <v>45336</v>
      </c>
      <c r="G557" s="18" t="s">
        <v>94</v>
      </c>
      <c r="H557" s="18" t="s">
        <v>36</v>
      </c>
      <c r="I557" s="19">
        <v>12</v>
      </c>
      <c r="J557" s="18" t="s">
        <v>234</v>
      </c>
      <c r="K557" s="19" t="s">
        <v>1155</v>
      </c>
      <c r="L557" s="14" t="s">
        <v>38</v>
      </c>
      <c r="M557" s="49"/>
    </row>
    <row r="558" spans="1:13" ht="13.5" hidden="1" customHeight="1">
      <c r="A558" s="14">
        <f t="shared" si="7"/>
        <v>551</v>
      </c>
      <c r="B558" s="15" t="s">
        <v>1160</v>
      </c>
      <c r="C558" s="15"/>
      <c r="D558" s="2" t="s">
        <v>1161</v>
      </c>
      <c r="E558" s="16">
        <v>1</v>
      </c>
      <c r="F558" s="17">
        <v>45336</v>
      </c>
      <c r="G558" s="18" t="s">
        <v>94</v>
      </c>
      <c r="H558" s="18" t="s">
        <v>36</v>
      </c>
      <c r="I558" s="19">
        <v>8</v>
      </c>
      <c r="J558" s="18" t="s">
        <v>234</v>
      </c>
      <c r="K558" s="19" t="s">
        <v>1155</v>
      </c>
      <c r="L558" s="14" t="s">
        <v>38</v>
      </c>
      <c r="M558" s="49"/>
    </row>
    <row r="559" spans="1:13" ht="13.5" hidden="1" customHeight="1">
      <c r="A559" s="20">
        <f t="shared" si="7"/>
        <v>552</v>
      </c>
      <c r="B559" s="21" t="s">
        <v>1162</v>
      </c>
      <c r="C559" s="21"/>
      <c r="D559" s="1" t="s">
        <v>1163</v>
      </c>
      <c r="E559" s="22">
        <v>3</v>
      </c>
      <c r="F559" s="23">
        <v>45336</v>
      </c>
      <c r="G559" s="24" t="s">
        <v>94</v>
      </c>
      <c r="H559" s="24" t="s">
        <v>49</v>
      </c>
      <c r="I559" s="25">
        <v>10</v>
      </c>
      <c r="J559" s="24" t="s">
        <v>234</v>
      </c>
      <c r="K559" s="25" t="s">
        <v>1155</v>
      </c>
      <c r="L559" s="14" t="s">
        <v>38</v>
      </c>
      <c r="M559" s="49"/>
    </row>
    <row r="560" spans="1:13" ht="13.5" hidden="1" customHeight="1">
      <c r="A560" s="14">
        <f t="shared" si="7"/>
        <v>553</v>
      </c>
      <c r="B560" s="15" t="s">
        <v>1164</v>
      </c>
      <c r="C560" s="15"/>
      <c r="D560" s="2" t="s">
        <v>1165</v>
      </c>
      <c r="E560" s="16">
        <v>3</v>
      </c>
      <c r="F560" s="17">
        <v>45336</v>
      </c>
      <c r="G560" s="18" t="s">
        <v>94</v>
      </c>
      <c r="H560" s="18" t="s">
        <v>36</v>
      </c>
      <c r="I560" s="19">
        <v>12</v>
      </c>
      <c r="J560" s="18" t="s">
        <v>234</v>
      </c>
      <c r="K560" s="19" t="s">
        <v>1155</v>
      </c>
      <c r="L560" s="14" t="s">
        <v>38</v>
      </c>
      <c r="M560" s="49"/>
    </row>
    <row r="561" spans="1:13" ht="13.5" hidden="1" customHeight="1">
      <c r="A561" s="14">
        <f t="shared" si="7"/>
        <v>554</v>
      </c>
      <c r="B561" s="15" t="s">
        <v>1166</v>
      </c>
      <c r="C561" s="15"/>
      <c r="D561" s="2" t="s">
        <v>1167</v>
      </c>
      <c r="E561" s="16">
        <v>0</v>
      </c>
      <c r="F561" s="17">
        <v>45336</v>
      </c>
      <c r="G561" s="18" t="s">
        <v>94</v>
      </c>
      <c r="H561" s="18" t="s">
        <v>36</v>
      </c>
      <c r="I561" s="19">
        <v>18</v>
      </c>
      <c r="J561" s="18" t="s">
        <v>234</v>
      </c>
      <c r="K561" s="19" t="s">
        <v>1155</v>
      </c>
      <c r="L561" s="14" t="s">
        <v>38</v>
      </c>
      <c r="M561" s="49"/>
    </row>
    <row r="562" spans="1:13" ht="13.5" hidden="1" customHeight="1">
      <c r="A562" s="14">
        <f t="shared" si="7"/>
        <v>555</v>
      </c>
      <c r="B562" s="15" t="s">
        <v>1168</v>
      </c>
      <c r="C562" s="15"/>
      <c r="D562" s="2" t="s">
        <v>1169</v>
      </c>
      <c r="E562" s="16">
        <v>0</v>
      </c>
      <c r="F562" s="17">
        <v>45336</v>
      </c>
      <c r="G562" s="18" t="s">
        <v>94</v>
      </c>
      <c r="H562" s="18" t="s">
        <v>36</v>
      </c>
      <c r="I562" s="19">
        <v>11</v>
      </c>
      <c r="J562" s="18" t="s">
        <v>234</v>
      </c>
      <c r="K562" s="19" t="s">
        <v>1155</v>
      </c>
      <c r="L562" s="14" t="s">
        <v>38</v>
      </c>
      <c r="M562" s="49"/>
    </row>
    <row r="563" spans="1:13" ht="13.5" hidden="1" customHeight="1">
      <c r="A563" s="14">
        <f t="shared" si="7"/>
        <v>556</v>
      </c>
      <c r="B563" s="15" t="s">
        <v>1170</v>
      </c>
      <c r="C563" s="15"/>
      <c r="D563" s="2" t="s">
        <v>1171</v>
      </c>
      <c r="E563" s="16">
        <v>0</v>
      </c>
      <c r="F563" s="17">
        <v>45336</v>
      </c>
      <c r="G563" s="18" t="s">
        <v>94</v>
      </c>
      <c r="H563" s="18" t="s">
        <v>36</v>
      </c>
      <c r="I563" s="19">
        <v>11</v>
      </c>
      <c r="J563" s="18" t="s">
        <v>234</v>
      </c>
      <c r="K563" s="19" t="s">
        <v>1155</v>
      </c>
      <c r="L563" s="14" t="s">
        <v>38</v>
      </c>
      <c r="M563" s="49"/>
    </row>
    <row r="564" spans="1:13" ht="13.5" hidden="1" customHeight="1">
      <c r="A564" s="14">
        <f t="shared" si="7"/>
        <v>557</v>
      </c>
      <c r="B564" s="15" t="s">
        <v>1172</v>
      </c>
      <c r="C564" s="15"/>
      <c r="D564" s="2" t="s">
        <v>1173</v>
      </c>
      <c r="E564" s="16">
        <v>3</v>
      </c>
      <c r="F564" s="17">
        <v>45336</v>
      </c>
      <c r="G564" s="18" t="s">
        <v>152</v>
      </c>
      <c r="H564" s="18" t="s">
        <v>36</v>
      </c>
      <c r="I564" s="19">
        <v>11</v>
      </c>
      <c r="J564" s="18" t="s">
        <v>234</v>
      </c>
      <c r="K564" s="19" t="s">
        <v>1155</v>
      </c>
      <c r="L564" s="14" t="s">
        <v>38</v>
      </c>
      <c r="M564" s="49"/>
    </row>
    <row r="565" spans="1:13" ht="13.5" hidden="1" customHeight="1">
      <c r="A565" s="14">
        <f t="shared" si="7"/>
        <v>558</v>
      </c>
      <c r="B565" s="15" t="s">
        <v>1174</v>
      </c>
      <c r="C565" s="15"/>
      <c r="D565" s="2" t="s">
        <v>1175</v>
      </c>
      <c r="E565" s="16">
        <v>1</v>
      </c>
      <c r="F565" s="17">
        <v>45336</v>
      </c>
      <c r="G565" s="18" t="s">
        <v>619</v>
      </c>
      <c r="H565" s="18" t="s">
        <v>36</v>
      </c>
      <c r="I565" s="19">
        <v>54</v>
      </c>
      <c r="J565" s="18" t="s">
        <v>234</v>
      </c>
      <c r="K565" s="19" t="s">
        <v>1155</v>
      </c>
      <c r="L565" s="14" t="s">
        <v>38</v>
      </c>
      <c r="M565" s="49"/>
    </row>
    <row r="566" spans="1:13" ht="13.5" hidden="1" customHeight="1">
      <c r="A566" s="14">
        <f t="shared" si="7"/>
        <v>559</v>
      </c>
      <c r="B566" s="15" t="s">
        <v>1176</v>
      </c>
      <c r="C566" s="15"/>
      <c r="D566" s="2" t="s">
        <v>1177</v>
      </c>
      <c r="E566" s="16">
        <v>1</v>
      </c>
      <c r="F566" s="17">
        <v>45336</v>
      </c>
      <c r="G566" s="18" t="s">
        <v>152</v>
      </c>
      <c r="H566" s="18" t="s">
        <v>36</v>
      </c>
      <c r="I566" s="19">
        <v>11</v>
      </c>
      <c r="J566" s="18" t="s">
        <v>234</v>
      </c>
      <c r="K566" s="19" t="s">
        <v>1155</v>
      </c>
      <c r="L566" s="14" t="s">
        <v>38</v>
      </c>
      <c r="M566" s="49"/>
    </row>
    <row r="567" spans="1:13" ht="13.5" hidden="1" customHeight="1">
      <c r="A567" s="14">
        <f t="shared" si="7"/>
        <v>560</v>
      </c>
      <c r="B567" s="15" t="s">
        <v>1178</v>
      </c>
      <c r="C567" s="15"/>
      <c r="D567" s="2" t="s">
        <v>1179</v>
      </c>
      <c r="E567" s="16">
        <v>6</v>
      </c>
      <c r="F567" s="17">
        <v>45336</v>
      </c>
      <c r="G567" s="18" t="s">
        <v>94</v>
      </c>
      <c r="H567" s="18" t="s">
        <v>36</v>
      </c>
      <c r="I567" s="19">
        <v>3</v>
      </c>
      <c r="J567" s="18" t="s">
        <v>234</v>
      </c>
      <c r="K567" s="19" t="s">
        <v>1180</v>
      </c>
      <c r="L567" s="14" t="s">
        <v>38</v>
      </c>
      <c r="M567" s="49"/>
    </row>
    <row r="568" spans="1:13" ht="13.5" hidden="1" customHeight="1">
      <c r="A568" s="14">
        <f t="shared" si="7"/>
        <v>561</v>
      </c>
      <c r="B568" s="15" t="s">
        <v>1181</v>
      </c>
      <c r="C568" s="15"/>
      <c r="D568" s="2" t="s">
        <v>1182</v>
      </c>
      <c r="E568" s="16">
        <v>0</v>
      </c>
      <c r="F568" s="17">
        <v>45336</v>
      </c>
      <c r="G568" s="18" t="s">
        <v>94</v>
      </c>
      <c r="H568" s="18" t="s">
        <v>36</v>
      </c>
      <c r="I568" s="19">
        <v>3</v>
      </c>
      <c r="J568" s="18" t="s">
        <v>234</v>
      </c>
      <c r="K568" s="19" t="s">
        <v>1180</v>
      </c>
      <c r="L568" s="14" t="s">
        <v>38</v>
      </c>
      <c r="M568" s="49"/>
    </row>
    <row r="569" spans="1:13" ht="13.5" hidden="1" customHeight="1">
      <c r="A569" s="14">
        <f t="shared" si="7"/>
        <v>562</v>
      </c>
      <c r="B569" s="15" t="s">
        <v>1122</v>
      </c>
      <c r="C569" s="15"/>
      <c r="D569" s="2" t="s">
        <v>1122</v>
      </c>
      <c r="E569" s="16">
        <v>3</v>
      </c>
      <c r="F569" s="17">
        <v>45336</v>
      </c>
      <c r="G569" s="18" t="s">
        <v>152</v>
      </c>
      <c r="H569" s="18" t="s">
        <v>36</v>
      </c>
      <c r="I569" s="19">
        <v>10</v>
      </c>
      <c r="J569" s="18" t="s">
        <v>234</v>
      </c>
      <c r="K569" s="19" t="s">
        <v>1180</v>
      </c>
      <c r="L569" s="14" t="s">
        <v>38</v>
      </c>
      <c r="M569" s="49"/>
    </row>
    <row r="570" spans="1:13" ht="13.5" hidden="1" customHeight="1">
      <c r="A570" s="14">
        <f t="shared" si="7"/>
        <v>563</v>
      </c>
      <c r="B570" s="15" t="s">
        <v>1183</v>
      </c>
      <c r="C570" s="15"/>
      <c r="D570" s="2" t="s">
        <v>1184</v>
      </c>
      <c r="E570" s="16">
        <v>2</v>
      </c>
      <c r="F570" s="17">
        <v>45336</v>
      </c>
      <c r="G570" s="18" t="s">
        <v>152</v>
      </c>
      <c r="H570" s="18" t="s">
        <v>36</v>
      </c>
      <c r="I570" s="19">
        <v>13</v>
      </c>
      <c r="J570" s="18" t="s">
        <v>234</v>
      </c>
      <c r="K570" s="19" t="s">
        <v>1180</v>
      </c>
      <c r="L570" s="14" t="s">
        <v>38</v>
      </c>
      <c r="M570" s="49"/>
    </row>
    <row r="571" spans="1:13" ht="13.5" hidden="1" customHeight="1">
      <c r="A571" s="14">
        <f t="shared" si="7"/>
        <v>564</v>
      </c>
      <c r="B571" s="15" t="s">
        <v>1185</v>
      </c>
      <c r="C571" s="15"/>
      <c r="D571" s="2" t="s">
        <v>1185</v>
      </c>
      <c r="E571" s="16">
        <v>0</v>
      </c>
      <c r="F571" s="17">
        <v>45336</v>
      </c>
      <c r="G571" s="18" t="s">
        <v>152</v>
      </c>
      <c r="H571" s="18" t="s">
        <v>36</v>
      </c>
      <c r="I571" s="19">
        <v>6</v>
      </c>
      <c r="J571" s="18" t="s">
        <v>234</v>
      </c>
      <c r="K571" s="19" t="s">
        <v>1180</v>
      </c>
      <c r="L571" s="14" t="s">
        <v>38</v>
      </c>
      <c r="M571" s="49"/>
    </row>
    <row r="572" spans="1:13" ht="13.5" hidden="1" customHeight="1">
      <c r="A572" s="14">
        <f t="shared" si="7"/>
        <v>565</v>
      </c>
      <c r="B572" s="15" t="s">
        <v>1186</v>
      </c>
      <c r="C572" s="15"/>
      <c r="D572" s="2" t="s">
        <v>1187</v>
      </c>
      <c r="E572" s="16">
        <v>3</v>
      </c>
      <c r="F572" s="17">
        <v>45336</v>
      </c>
      <c r="G572" s="18" t="s">
        <v>41</v>
      </c>
      <c r="H572" s="18" t="s">
        <v>36</v>
      </c>
      <c r="I572" s="19" t="s">
        <v>34</v>
      </c>
      <c r="J572" s="18" t="s">
        <v>234</v>
      </c>
      <c r="K572" s="19" t="s">
        <v>1180</v>
      </c>
      <c r="L572" s="14" t="s">
        <v>38</v>
      </c>
      <c r="M572" s="49"/>
    </row>
    <row r="573" spans="1:13" ht="13.5" hidden="1" customHeight="1">
      <c r="A573" s="14">
        <f t="shared" si="7"/>
        <v>566</v>
      </c>
      <c r="B573" s="15" t="s">
        <v>1188</v>
      </c>
      <c r="C573" s="15"/>
      <c r="D573" s="2" t="s">
        <v>1188</v>
      </c>
      <c r="E573" s="16">
        <v>1</v>
      </c>
      <c r="F573" s="17">
        <v>45336</v>
      </c>
      <c r="G573" s="18" t="s">
        <v>152</v>
      </c>
      <c r="H573" s="18" t="s">
        <v>36</v>
      </c>
      <c r="I573" s="19">
        <v>11</v>
      </c>
      <c r="J573" s="18" t="s">
        <v>234</v>
      </c>
      <c r="K573" s="19" t="s">
        <v>1180</v>
      </c>
      <c r="L573" s="14" t="s">
        <v>38</v>
      </c>
      <c r="M573" s="49"/>
    </row>
    <row r="574" spans="1:13" ht="13.5" hidden="1" customHeight="1">
      <c r="A574" s="14">
        <f t="shared" si="7"/>
        <v>567</v>
      </c>
      <c r="B574" s="15" t="s">
        <v>1189</v>
      </c>
      <c r="C574" s="15"/>
      <c r="D574" s="2" t="s">
        <v>1190</v>
      </c>
      <c r="E574" s="16">
        <v>5</v>
      </c>
      <c r="F574" s="17">
        <v>45336</v>
      </c>
      <c r="G574" s="18" t="s">
        <v>152</v>
      </c>
      <c r="H574" s="18" t="s">
        <v>36</v>
      </c>
      <c r="I574" s="19">
        <v>25</v>
      </c>
      <c r="J574" s="18" t="s">
        <v>234</v>
      </c>
      <c r="K574" s="19" t="s">
        <v>1180</v>
      </c>
      <c r="L574" s="14" t="s">
        <v>38</v>
      </c>
      <c r="M574" s="49"/>
    </row>
    <row r="575" spans="1:13" ht="13.5" hidden="1" customHeight="1">
      <c r="A575" s="14">
        <f t="shared" si="7"/>
        <v>568</v>
      </c>
      <c r="B575" s="15" t="s">
        <v>1191</v>
      </c>
      <c r="C575" s="15"/>
      <c r="D575" s="2" t="s">
        <v>1192</v>
      </c>
      <c r="E575" s="16">
        <v>8</v>
      </c>
      <c r="F575" s="17">
        <v>45336</v>
      </c>
      <c r="G575" s="18" t="s">
        <v>152</v>
      </c>
      <c r="H575" s="18" t="s">
        <v>36</v>
      </c>
      <c r="I575" s="19">
        <v>7</v>
      </c>
      <c r="J575" s="18" t="s">
        <v>234</v>
      </c>
      <c r="K575" s="19" t="s">
        <v>1180</v>
      </c>
      <c r="L575" s="14" t="s">
        <v>38</v>
      </c>
      <c r="M575" s="49"/>
    </row>
    <row r="576" spans="1:13" ht="13.5" hidden="1" customHeight="1">
      <c r="A576" s="14">
        <f t="shared" si="7"/>
        <v>569</v>
      </c>
      <c r="B576" s="15" t="s">
        <v>1193</v>
      </c>
      <c r="C576" s="15"/>
      <c r="D576" s="2" t="s">
        <v>1122</v>
      </c>
      <c r="E576" s="16">
        <v>3</v>
      </c>
      <c r="F576" s="17">
        <v>45336</v>
      </c>
      <c r="G576" s="18" t="s">
        <v>152</v>
      </c>
      <c r="H576" s="18" t="s">
        <v>36</v>
      </c>
      <c r="I576" s="19">
        <v>10</v>
      </c>
      <c r="J576" s="18" t="s">
        <v>234</v>
      </c>
      <c r="K576" s="19" t="s">
        <v>1180</v>
      </c>
      <c r="L576" s="14" t="s">
        <v>38</v>
      </c>
      <c r="M576" s="49"/>
    </row>
    <row r="577" spans="1:13" ht="13.5" hidden="1" customHeight="1">
      <c r="A577" s="14">
        <f t="shared" si="7"/>
        <v>570</v>
      </c>
      <c r="B577" s="15" t="s">
        <v>1194</v>
      </c>
      <c r="C577" s="15"/>
      <c r="D577" s="2" t="s">
        <v>1195</v>
      </c>
      <c r="E577" s="16">
        <v>0</v>
      </c>
      <c r="F577" s="17">
        <v>45336</v>
      </c>
      <c r="G577" s="18" t="s">
        <v>152</v>
      </c>
      <c r="H577" s="18" t="s">
        <v>36</v>
      </c>
      <c r="I577" s="19">
        <v>7</v>
      </c>
      <c r="J577" s="18" t="s">
        <v>234</v>
      </c>
      <c r="K577" s="19" t="s">
        <v>1180</v>
      </c>
      <c r="L577" s="14" t="s">
        <v>38</v>
      </c>
      <c r="M577" s="49"/>
    </row>
    <row r="578" spans="1:13" ht="13.5" hidden="1" customHeight="1">
      <c r="A578" s="26">
        <f t="shared" si="7"/>
        <v>571</v>
      </c>
      <c r="B578" s="27" t="s">
        <v>1196</v>
      </c>
      <c r="C578" s="27"/>
      <c r="D578" s="28" t="s">
        <v>1190</v>
      </c>
      <c r="E578" s="29">
        <v>5</v>
      </c>
      <c r="F578" s="30">
        <v>45336</v>
      </c>
      <c r="G578" s="31" t="s">
        <v>152</v>
      </c>
      <c r="H578" s="31" t="s">
        <v>36</v>
      </c>
      <c r="I578" s="32">
        <v>25</v>
      </c>
      <c r="J578" s="31" t="s">
        <v>234</v>
      </c>
      <c r="K578" s="32" t="s">
        <v>1180</v>
      </c>
      <c r="L578" s="14" t="s">
        <v>38</v>
      </c>
      <c r="M578" s="49"/>
    </row>
    <row r="579" spans="1:13" ht="13.5" hidden="1" customHeight="1">
      <c r="A579" s="14">
        <f t="shared" si="7"/>
        <v>572</v>
      </c>
      <c r="B579" s="15" t="s">
        <v>1197</v>
      </c>
      <c r="C579" s="15"/>
      <c r="D579" s="2" t="s">
        <v>1198</v>
      </c>
      <c r="E579" s="16">
        <v>3</v>
      </c>
      <c r="F579" s="17">
        <v>45336</v>
      </c>
      <c r="G579" s="18" t="s">
        <v>152</v>
      </c>
      <c r="H579" s="18" t="s">
        <v>36</v>
      </c>
      <c r="I579" s="19">
        <v>9</v>
      </c>
      <c r="J579" s="18" t="s">
        <v>234</v>
      </c>
      <c r="K579" s="19" t="s">
        <v>1180</v>
      </c>
      <c r="L579" s="14" t="s">
        <v>38</v>
      </c>
      <c r="M579" s="49"/>
    </row>
    <row r="580" spans="1:13" ht="13.5" hidden="1" customHeight="1">
      <c r="A580" s="14">
        <f t="shared" ref="A580:A637" si="8">ROW()-7</f>
        <v>573</v>
      </c>
      <c r="B580" s="15" t="s">
        <v>1199</v>
      </c>
      <c r="C580" s="15"/>
      <c r="D580" s="2" t="s">
        <v>1200</v>
      </c>
      <c r="E580" s="16">
        <v>4</v>
      </c>
      <c r="F580" s="17">
        <v>45336</v>
      </c>
      <c r="G580" s="18" t="s">
        <v>152</v>
      </c>
      <c r="H580" s="18" t="s">
        <v>36</v>
      </c>
      <c r="I580" s="19">
        <v>20</v>
      </c>
      <c r="J580" s="18" t="s">
        <v>234</v>
      </c>
      <c r="K580" s="19" t="s">
        <v>1180</v>
      </c>
      <c r="L580" s="14" t="s">
        <v>38</v>
      </c>
      <c r="M580" s="49"/>
    </row>
    <row r="581" spans="1:13" ht="13.5" hidden="1" customHeight="1">
      <c r="A581" s="14">
        <f t="shared" si="8"/>
        <v>574</v>
      </c>
      <c r="B581" s="15" t="s">
        <v>1201</v>
      </c>
      <c r="C581" s="15"/>
      <c r="D581" s="2" t="s">
        <v>1202</v>
      </c>
      <c r="E581" s="16">
        <v>0</v>
      </c>
      <c r="F581" s="17">
        <v>45336</v>
      </c>
      <c r="G581" s="18" t="s">
        <v>94</v>
      </c>
      <c r="H581" s="18" t="s">
        <v>36</v>
      </c>
      <c r="I581" s="19">
        <v>3</v>
      </c>
      <c r="J581" s="18" t="s">
        <v>234</v>
      </c>
      <c r="K581" s="19" t="s">
        <v>1180</v>
      </c>
      <c r="L581" s="14" t="s">
        <v>38</v>
      </c>
      <c r="M581" s="49"/>
    </row>
    <row r="582" spans="1:13" ht="13.5" hidden="1" customHeight="1">
      <c r="A582" s="14">
        <f t="shared" si="8"/>
        <v>575</v>
      </c>
      <c r="B582" s="15" t="s">
        <v>1203</v>
      </c>
      <c r="C582" s="15"/>
      <c r="D582" s="2" t="s">
        <v>1204</v>
      </c>
      <c r="E582" s="16" t="s">
        <v>34</v>
      </c>
      <c r="F582" s="17">
        <v>45336</v>
      </c>
      <c r="G582" s="18" t="s">
        <v>41</v>
      </c>
      <c r="H582" s="18" t="s">
        <v>36</v>
      </c>
      <c r="I582" s="19" t="s">
        <v>34</v>
      </c>
      <c r="J582" s="18" t="s">
        <v>234</v>
      </c>
      <c r="K582" s="19" t="s">
        <v>1205</v>
      </c>
      <c r="L582" s="14" t="s">
        <v>38</v>
      </c>
      <c r="M582" s="49"/>
    </row>
    <row r="583" spans="1:13" ht="13.5" hidden="1" customHeight="1">
      <c r="A583" s="14">
        <f t="shared" si="8"/>
        <v>576</v>
      </c>
      <c r="B583" s="15" t="s">
        <v>1206</v>
      </c>
      <c r="C583" s="15"/>
      <c r="D583" s="2" t="s">
        <v>1207</v>
      </c>
      <c r="E583" s="16">
        <v>2</v>
      </c>
      <c r="F583" s="17">
        <v>45336</v>
      </c>
      <c r="G583" s="18" t="s">
        <v>152</v>
      </c>
      <c r="H583" s="18" t="s">
        <v>36</v>
      </c>
      <c r="I583" s="19">
        <v>33</v>
      </c>
      <c r="J583" s="18" t="s">
        <v>234</v>
      </c>
      <c r="K583" s="19" t="s">
        <v>1205</v>
      </c>
      <c r="L583" s="14" t="s">
        <v>38</v>
      </c>
      <c r="M583" s="49"/>
    </row>
    <row r="584" spans="1:13" ht="13.5" hidden="1" customHeight="1">
      <c r="A584" s="14">
        <f t="shared" si="8"/>
        <v>577</v>
      </c>
      <c r="B584" s="15" t="s">
        <v>1208</v>
      </c>
      <c r="C584" s="15"/>
      <c r="D584" s="2" t="s">
        <v>1209</v>
      </c>
      <c r="E584" s="16" t="s">
        <v>34</v>
      </c>
      <c r="F584" s="17">
        <v>45336</v>
      </c>
      <c r="G584" s="18" t="s">
        <v>609</v>
      </c>
      <c r="H584" s="18" t="s">
        <v>36</v>
      </c>
      <c r="I584" s="19">
        <v>38</v>
      </c>
      <c r="J584" s="18" t="s">
        <v>234</v>
      </c>
      <c r="K584" s="19" t="s">
        <v>1210</v>
      </c>
      <c r="L584" s="14" t="s">
        <v>38</v>
      </c>
      <c r="M584" s="49"/>
    </row>
    <row r="585" spans="1:13" ht="13.5" hidden="1" customHeight="1">
      <c r="A585" s="14">
        <f t="shared" si="8"/>
        <v>578</v>
      </c>
      <c r="B585" s="15" t="s">
        <v>1211</v>
      </c>
      <c r="C585" s="15"/>
      <c r="D585" s="2" t="s">
        <v>1212</v>
      </c>
      <c r="E585" s="16" t="s">
        <v>34</v>
      </c>
      <c r="F585" s="17">
        <v>45336</v>
      </c>
      <c r="G585" s="18" t="s">
        <v>609</v>
      </c>
      <c r="H585" s="18" t="s">
        <v>36</v>
      </c>
      <c r="I585" s="19">
        <v>6</v>
      </c>
      <c r="J585" s="18" t="s">
        <v>234</v>
      </c>
      <c r="K585" s="19" t="s">
        <v>1210</v>
      </c>
      <c r="L585" s="14" t="s">
        <v>38</v>
      </c>
      <c r="M585" s="49"/>
    </row>
    <row r="586" spans="1:13" ht="13.5" hidden="1" customHeight="1">
      <c r="A586" s="14">
        <f t="shared" si="8"/>
        <v>579</v>
      </c>
      <c r="B586" s="15" t="s">
        <v>1213</v>
      </c>
      <c r="C586" s="15"/>
      <c r="D586" s="2" t="s">
        <v>1214</v>
      </c>
      <c r="E586" s="16" t="s">
        <v>34</v>
      </c>
      <c r="F586" s="17">
        <v>45336</v>
      </c>
      <c r="G586" s="18" t="s">
        <v>609</v>
      </c>
      <c r="H586" s="18" t="s">
        <v>36</v>
      </c>
      <c r="I586" s="19">
        <v>6</v>
      </c>
      <c r="J586" s="18" t="s">
        <v>234</v>
      </c>
      <c r="K586" s="19" t="s">
        <v>1210</v>
      </c>
      <c r="L586" s="14" t="s">
        <v>38</v>
      </c>
      <c r="M586" s="49"/>
    </row>
    <row r="587" spans="1:13" ht="13.5" hidden="1" customHeight="1">
      <c r="A587" s="14">
        <f t="shared" si="8"/>
        <v>580</v>
      </c>
      <c r="B587" s="15" t="s">
        <v>1215</v>
      </c>
      <c r="C587" s="15"/>
      <c r="D587" s="2" t="s">
        <v>1216</v>
      </c>
      <c r="E587" s="16" t="s">
        <v>34</v>
      </c>
      <c r="F587" s="17">
        <v>45336</v>
      </c>
      <c r="G587" s="18" t="s">
        <v>609</v>
      </c>
      <c r="H587" s="18" t="s">
        <v>36</v>
      </c>
      <c r="I587" s="19" t="s">
        <v>34</v>
      </c>
      <c r="J587" s="18" t="s">
        <v>234</v>
      </c>
      <c r="K587" s="19" t="s">
        <v>1210</v>
      </c>
      <c r="L587" s="14" t="s">
        <v>38</v>
      </c>
      <c r="M587" s="49"/>
    </row>
    <row r="588" spans="1:13" ht="13.5" hidden="1" customHeight="1">
      <c r="A588" s="14">
        <f t="shared" si="8"/>
        <v>581</v>
      </c>
      <c r="B588" s="15" t="s">
        <v>1217</v>
      </c>
      <c r="C588" s="15"/>
      <c r="D588" s="2" t="s">
        <v>1218</v>
      </c>
      <c r="E588" s="16" t="s">
        <v>34</v>
      </c>
      <c r="F588" s="17">
        <v>45336</v>
      </c>
      <c r="G588" s="18" t="s">
        <v>804</v>
      </c>
      <c r="H588" s="18" t="s">
        <v>36</v>
      </c>
      <c r="I588" s="19">
        <v>1</v>
      </c>
      <c r="J588" s="18" t="s">
        <v>234</v>
      </c>
      <c r="K588" s="19" t="s">
        <v>1210</v>
      </c>
      <c r="L588" s="14" t="s">
        <v>38</v>
      </c>
      <c r="M588" s="49"/>
    </row>
    <row r="589" spans="1:13" ht="13.5" hidden="1" customHeight="1">
      <c r="A589" s="20">
        <f t="shared" si="8"/>
        <v>582</v>
      </c>
      <c r="B589" s="21" t="s">
        <v>1219</v>
      </c>
      <c r="C589" s="21"/>
      <c r="D589" s="1" t="s">
        <v>34</v>
      </c>
      <c r="E589" s="22"/>
      <c r="F589" s="23">
        <v>45336</v>
      </c>
      <c r="G589" s="24" t="s">
        <v>633</v>
      </c>
      <c r="H589" s="24" t="s">
        <v>634</v>
      </c>
      <c r="I589" s="25" t="s">
        <v>34</v>
      </c>
      <c r="J589" s="24" t="s">
        <v>34</v>
      </c>
      <c r="K589" s="25" t="s">
        <v>1210</v>
      </c>
      <c r="L589" s="20" t="s">
        <v>38</v>
      </c>
      <c r="M589" s="49"/>
    </row>
    <row r="590" spans="1:13" ht="13.5" hidden="1" customHeight="1">
      <c r="A590" s="20">
        <f t="shared" si="8"/>
        <v>583</v>
      </c>
      <c r="B590" s="21" t="s">
        <v>1220</v>
      </c>
      <c r="C590" s="21"/>
      <c r="D590" s="1" t="s">
        <v>34</v>
      </c>
      <c r="E590" s="22"/>
      <c r="F590" s="23">
        <v>45336</v>
      </c>
      <c r="G590" s="24" t="s">
        <v>633</v>
      </c>
      <c r="H590" s="24" t="s">
        <v>634</v>
      </c>
      <c r="I590" s="25" t="s">
        <v>34</v>
      </c>
      <c r="J590" s="24" t="s">
        <v>34</v>
      </c>
      <c r="K590" s="25" t="s">
        <v>1210</v>
      </c>
      <c r="L590" s="20" t="s">
        <v>38</v>
      </c>
      <c r="M590" s="49"/>
    </row>
    <row r="591" spans="1:13" ht="13.5" hidden="1" customHeight="1">
      <c r="A591" s="14">
        <f t="shared" si="8"/>
        <v>584</v>
      </c>
      <c r="B591" s="15" t="s">
        <v>1221</v>
      </c>
      <c r="C591" s="15"/>
      <c r="D591" s="2" t="s">
        <v>1222</v>
      </c>
      <c r="E591" s="16">
        <v>5</v>
      </c>
      <c r="F591" s="17">
        <v>45336</v>
      </c>
      <c r="G591" s="18" t="s">
        <v>152</v>
      </c>
      <c r="H591" s="18" t="s">
        <v>36</v>
      </c>
      <c r="I591" s="19">
        <v>20</v>
      </c>
      <c r="J591" s="18" t="s">
        <v>234</v>
      </c>
      <c r="K591" s="19" t="s">
        <v>1210</v>
      </c>
      <c r="L591" s="14" t="s">
        <v>38</v>
      </c>
      <c r="M591" s="49"/>
    </row>
    <row r="592" spans="1:13" ht="13.5" hidden="1" customHeight="1">
      <c r="A592" s="26">
        <f t="shared" si="8"/>
        <v>585</v>
      </c>
      <c r="B592" s="27" t="s">
        <v>1069</v>
      </c>
      <c r="C592" s="27"/>
      <c r="D592" s="28" t="s">
        <v>1070</v>
      </c>
      <c r="E592" s="29" t="s">
        <v>34</v>
      </c>
      <c r="F592" s="30">
        <v>45336</v>
      </c>
      <c r="G592" s="31" t="s">
        <v>1031</v>
      </c>
      <c r="H592" s="31" t="s">
        <v>36</v>
      </c>
      <c r="I592" s="32">
        <v>27</v>
      </c>
      <c r="J592" s="31" t="s">
        <v>234</v>
      </c>
      <c r="K592" s="32" t="s">
        <v>1223</v>
      </c>
      <c r="L592" s="14" t="s">
        <v>38</v>
      </c>
      <c r="M592" s="49"/>
    </row>
    <row r="593" spans="1:13" ht="13.5" hidden="1" customHeight="1">
      <c r="A593" s="26">
        <f t="shared" si="8"/>
        <v>586</v>
      </c>
      <c r="B593" s="27" t="s">
        <v>1072</v>
      </c>
      <c r="C593" s="27"/>
      <c r="D593" s="28" t="s">
        <v>1073</v>
      </c>
      <c r="E593" s="29" t="s">
        <v>34</v>
      </c>
      <c r="F593" s="30">
        <v>45336</v>
      </c>
      <c r="G593" s="31" t="s">
        <v>1031</v>
      </c>
      <c r="H593" s="31" t="s">
        <v>36</v>
      </c>
      <c r="I593" s="32">
        <v>28</v>
      </c>
      <c r="J593" s="31" t="s">
        <v>234</v>
      </c>
      <c r="K593" s="32" t="s">
        <v>1223</v>
      </c>
      <c r="L593" s="14" t="s">
        <v>38</v>
      </c>
      <c r="M593" s="49"/>
    </row>
    <row r="594" spans="1:13" ht="13.5" hidden="1" customHeight="1">
      <c r="A594" s="26">
        <f t="shared" si="8"/>
        <v>587</v>
      </c>
      <c r="B594" s="27" t="s">
        <v>1074</v>
      </c>
      <c r="C594" s="27"/>
      <c r="D594" s="28" t="s">
        <v>1075</v>
      </c>
      <c r="E594" s="29">
        <v>12</v>
      </c>
      <c r="F594" s="30">
        <v>45336</v>
      </c>
      <c r="G594" s="31" t="s">
        <v>1031</v>
      </c>
      <c r="H594" s="31" t="s">
        <v>36</v>
      </c>
      <c r="I594" s="32">
        <v>40</v>
      </c>
      <c r="J594" s="31" t="s">
        <v>234</v>
      </c>
      <c r="K594" s="32" t="s">
        <v>1223</v>
      </c>
      <c r="L594" s="14" t="s">
        <v>38</v>
      </c>
      <c r="M594" s="49"/>
    </row>
    <row r="595" spans="1:13" ht="13.5" hidden="1" customHeight="1">
      <c r="A595" s="14">
        <f t="shared" si="8"/>
        <v>588</v>
      </c>
      <c r="B595" s="15" t="s">
        <v>1224</v>
      </c>
      <c r="C595" s="15"/>
      <c r="D595" s="2" t="s">
        <v>1225</v>
      </c>
      <c r="E595" s="16" t="s">
        <v>34</v>
      </c>
      <c r="F595" s="17">
        <v>45336</v>
      </c>
      <c r="G595" s="18" t="s">
        <v>668</v>
      </c>
      <c r="H595" s="18" t="s">
        <v>36</v>
      </c>
      <c r="I595" s="19">
        <v>66</v>
      </c>
      <c r="J595" s="18" t="s">
        <v>234</v>
      </c>
      <c r="K595" s="19" t="s">
        <v>1226</v>
      </c>
      <c r="L595" s="14" t="s">
        <v>38</v>
      </c>
      <c r="M595" s="49"/>
    </row>
    <row r="596" spans="1:13" ht="13.5" hidden="1" customHeight="1">
      <c r="A596" s="14">
        <f t="shared" si="8"/>
        <v>589</v>
      </c>
      <c r="B596" s="15" t="s">
        <v>1227</v>
      </c>
      <c r="C596" s="15"/>
      <c r="D596" s="2" t="s">
        <v>613</v>
      </c>
      <c r="E596" s="16">
        <v>7</v>
      </c>
      <c r="F596" s="17">
        <v>45336</v>
      </c>
      <c r="G596" s="18" t="s">
        <v>41</v>
      </c>
      <c r="H596" s="18" t="s">
        <v>36</v>
      </c>
      <c r="I596" s="19" t="s">
        <v>34</v>
      </c>
      <c r="J596" s="18" t="s">
        <v>234</v>
      </c>
      <c r="K596" s="19" t="s">
        <v>1226</v>
      </c>
      <c r="L596" s="14" t="s">
        <v>38</v>
      </c>
      <c r="M596" s="49"/>
    </row>
    <row r="597" spans="1:13" ht="13.5" hidden="1" customHeight="1">
      <c r="A597" s="14">
        <f t="shared" si="8"/>
        <v>590</v>
      </c>
      <c r="B597" s="15" t="s">
        <v>1228</v>
      </c>
      <c r="C597" s="15"/>
      <c r="D597" s="2" t="s">
        <v>1229</v>
      </c>
      <c r="E597" s="16" t="s">
        <v>34</v>
      </c>
      <c r="F597" s="17">
        <v>45336</v>
      </c>
      <c r="G597" s="18" t="s">
        <v>1108</v>
      </c>
      <c r="H597" s="18" t="s">
        <v>36</v>
      </c>
      <c r="I597" s="19">
        <v>1</v>
      </c>
      <c r="J597" s="18" t="s">
        <v>37</v>
      </c>
      <c r="K597" s="19" t="s">
        <v>1226</v>
      </c>
      <c r="L597" s="14" t="s">
        <v>38</v>
      </c>
      <c r="M597" s="49"/>
    </row>
    <row r="598" spans="1:13" ht="13.5" hidden="1" customHeight="1">
      <c r="A598" s="14">
        <f t="shared" si="8"/>
        <v>591</v>
      </c>
      <c r="B598" s="15" t="s">
        <v>1230</v>
      </c>
      <c r="C598" s="15"/>
      <c r="D598" s="2" t="s">
        <v>1231</v>
      </c>
      <c r="E598" s="16" t="s">
        <v>34</v>
      </c>
      <c r="F598" s="17">
        <v>45336</v>
      </c>
      <c r="G598" s="18" t="s">
        <v>609</v>
      </c>
      <c r="H598" s="18" t="s">
        <v>36</v>
      </c>
      <c r="I598" s="19">
        <v>19</v>
      </c>
      <c r="J598" s="18" t="s">
        <v>234</v>
      </c>
      <c r="K598" s="19" t="s">
        <v>1226</v>
      </c>
      <c r="L598" s="14" t="s">
        <v>38</v>
      </c>
      <c r="M598" s="49"/>
    </row>
    <row r="599" spans="1:13" ht="13.5" hidden="1" customHeight="1">
      <c r="A599" s="26">
        <f t="shared" si="8"/>
        <v>592</v>
      </c>
      <c r="B599" s="27" t="s">
        <v>615</v>
      </c>
      <c r="C599" s="27"/>
      <c r="D599" s="28" t="s">
        <v>616</v>
      </c>
      <c r="E599" s="29">
        <v>9</v>
      </c>
      <c r="F599" s="30">
        <v>45336</v>
      </c>
      <c r="G599" s="31" t="s">
        <v>152</v>
      </c>
      <c r="H599" s="31" t="s">
        <v>36</v>
      </c>
      <c r="I599" s="32">
        <v>12</v>
      </c>
      <c r="J599" s="31" t="s">
        <v>234</v>
      </c>
      <c r="K599" s="32" t="s">
        <v>1226</v>
      </c>
      <c r="L599" s="14" t="s">
        <v>38</v>
      </c>
      <c r="M599" s="49"/>
    </row>
    <row r="600" spans="1:13" ht="13.5" hidden="1" customHeight="1">
      <c r="A600" s="20">
        <f t="shared" si="8"/>
        <v>593</v>
      </c>
      <c r="B600" s="21" t="s">
        <v>1232</v>
      </c>
      <c r="C600" s="21"/>
      <c r="D600" s="1" t="s">
        <v>618</v>
      </c>
      <c r="E600" s="22">
        <v>8</v>
      </c>
      <c r="F600" s="23">
        <v>45336</v>
      </c>
      <c r="G600" s="24" t="s">
        <v>619</v>
      </c>
      <c r="H600" s="24" t="s">
        <v>49</v>
      </c>
      <c r="I600" s="25">
        <v>63</v>
      </c>
      <c r="J600" s="24" t="s">
        <v>234</v>
      </c>
      <c r="K600" s="25" t="s">
        <v>1226</v>
      </c>
      <c r="L600" s="14" t="s">
        <v>38</v>
      </c>
      <c r="M600" s="49"/>
    </row>
    <row r="601" spans="1:13" ht="13.5" hidden="1" customHeight="1">
      <c r="A601" s="26">
        <f t="shared" si="8"/>
        <v>594</v>
      </c>
      <c r="B601" s="27" t="s">
        <v>1069</v>
      </c>
      <c r="C601" s="27"/>
      <c r="D601" s="28" t="s">
        <v>1070</v>
      </c>
      <c r="E601" s="29" t="s">
        <v>34</v>
      </c>
      <c r="F601" s="30">
        <v>45336</v>
      </c>
      <c r="G601" s="31" t="s">
        <v>1031</v>
      </c>
      <c r="H601" s="31" t="s">
        <v>36</v>
      </c>
      <c r="I601" s="32">
        <v>27</v>
      </c>
      <c r="J601" s="31" t="s">
        <v>234</v>
      </c>
      <c r="K601" s="32" t="s">
        <v>1233</v>
      </c>
      <c r="L601" s="14" t="s">
        <v>38</v>
      </c>
      <c r="M601" s="49"/>
    </row>
    <row r="602" spans="1:13" ht="13.5" hidden="1" customHeight="1">
      <c r="A602" s="26">
        <f t="shared" si="8"/>
        <v>595</v>
      </c>
      <c r="B602" s="27" t="s">
        <v>1072</v>
      </c>
      <c r="C602" s="27"/>
      <c r="D602" s="28" t="s">
        <v>1073</v>
      </c>
      <c r="E602" s="29" t="s">
        <v>34</v>
      </c>
      <c r="F602" s="30">
        <v>45336</v>
      </c>
      <c r="G602" s="31" t="s">
        <v>1031</v>
      </c>
      <c r="H602" s="31" t="s">
        <v>36</v>
      </c>
      <c r="I602" s="32">
        <v>28</v>
      </c>
      <c r="J602" s="31" t="s">
        <v>234</v>
      </c>
      <c r="K602" s="32" t="s">
        <v>1233</v>
      </c>
      <c r="L602" s="14" t="s">
        <v>38</v>
      </c>
      <c r="M602" s="49"/>
    </row>
    <row r="603" spans="1:13" ht="13.5" hidden="1" customHeight="1">
      <c r="A603" s="26">
        <f t="shared" si="8"/>
        <v>596</v>
      </c>
      <c r="B603" s="27" t="s">
        <v>1074</v>
      </c>
      <c r="C603" s="27"/>
      <c r="D603" s="28" t="s">
        <v>1075</v>
      </c>
      <c r="E603" s="29">
        <v>12</v>
      </c>
      <c r="F603" s="30">
        <v>45336</v>
      </c>
      <c r="G603" s="31" t="s">
        <v>1031</v>
      </c>
      <c r="H603" s="31" t="s">
        <v>36</v>
      </c>
      <c r="I603" s="32">
        <v>40</v>
      </c>
      <c r="J603" s="31" t="s">
        <v>234</v>
      </c>
      <c r="K603" s="32" t="s">
        <v>1233</v>
      </c>
      <c r="L603" s="14" t="s">
        <v>38</v>
      </c>
      <c r="M603" s="49"/>
    </row>
    <row r="604" spans="1:13" ht="13.5" hidden="1" customHeight="1">
      <c r="A604" s="26">
        <f t="shared" si="8"/>
        <v>597</v>
      </c>
      <c r="B604" s="27" t="s">
        <v>1234</v>
      </c>
      <c r="C604" s="27"/>
      <c r="D604" s="28" t="s">
        <v>1235</v>
      </c>
      <c r="E604" s="29" t="s">
        <v>34</v>
      </c>
      <c r="F604" s="30">
        <v>45336</v>
      </c>
      <c r="G604" s="31" t="s">
        <v>633</v>
      </c>
      <c r="H604" s="31" t="s">
        <v>36</v>
      </c>
      <c r="I604" s="32" t="s">
        <v>34</v>
      </c>
      <c r="J604" s="31" t="s">
        <v>37</v>
      </c>
      <c r="K604" s="32" t="s">
        <v>1236</v>
      </c>
      <c r="L604" s="20" t="s">
        <v>38</v>
      </c>
      <c r="M604" s="49"/>
    </row>
    <row r="605" spans="1:13" ht="13.5" hidden="1" customHeight="1">
      <c r="A605" s="26">
        <f t="shared" si="8"/>
        <v>598</v>
      </c>
      <c r="B605" s="27" t="s">
        <v>1237</v>
      </c>
      <c r="C605" s="27"/>
      <c r="D605" s="28" t="s">
        <v>1238</v>
      </c>
      <c r="E605" s="29" t="s">
        <v>34</v>
      </c>
      <c r="F605" s="30">
        <v>45336</v>
      </c>
      <c r="G605" s="31" t="s">
        <v>633</v>
      </c>
      <c r="H605" s="31" t="s">
        <v>36</v>
      </c>
      <c r="I605" s="32" t="s">
        <v>34</v>
      </c>
      <c r="J605" s="31" t="s">
        <v>37</v>
      </c>
      <c r="K605" s="32" t="s">
        <v>1239</v>
      </c>
      <c r="L605" s="20" t="s">
        <v>38</v>
      </c>
      <c r="M605" s="49"/>
    </row>
    <row r="606" spans="1:13" ht="13.5" hidden="1" customHeight="1">
      <c r="A606" s="26">
        <f t="shared" si="8"/>
        <v>599</v>
      </c>
      <c r="B606" s="27" t="s">
        <v>1240</v>
      </c>
      <c r="C606" s="27"/>
      <c r="D606" s="28" t="s">
        <v>1241</v>
      </c>
      <c r="E606" s="29" t="s">
        <v>34</v>
      </c>
      <c r="F606" s="30">
        <v>45336</v>
      </c>
      <c r="G606" s="31" t="s">
        <v>633</v>
      </c>
      <c r="H606" s="31" t="s">
        <v>36</v>
      </c>
      <c r="I606" s="32" t="s">
        <v>34</v>
      </c>
      <c r="J606" s="31" t="s">
        <v>37</v>
      </c>
      <c r="K606" s="32" t="s">
        <v>1242</v>
      </c>
      <c r="L606" s="20" t="s">
        <v>38</v>
      </c>
      <c r="M606" s="49"/>
    </row>
    <row r="607" spans="1:13" ht="13.5" hidden="1" customHeight="1">
      <c r="A607" s="14">
        <f t="shared" si="8"/>
        <v>600</v>
      </c>
      <c r="B607" s="15" t="s">
        <v>1243</v>
      </c>
      <c r="C607" s="15"/>
      <c r="D607" s="2" t="s">
        <v>1244</v>
      </c>
      <c r="E607" s="16">
        <v>5</v>
      </c>
      <c r="F607" s="17">
        <v>45336</v>
      </c>
      <c r="G607" s="18" t="s">
        <v>152</v>
      </c>
      <c r="H607" s="18" t="s">
        <v>36</v>
      </c>
      <c r="I607" s="19">
        <v>51</v>
      </c>
      <c r="J607" s="18" t="s">
        <v>234</v>
      </c>
      <c r="K607" s="19" t="s">
        <v>1245</v>
      </c>
      <c r="L607" s="14" t="s">
        <v>38</v>
      </c>
      <c r="M607" s="49"/>
    </row>
    <row r="608" spans="1:13" ht="13.5" hidden="1" customHeight="1">
      <c r="A608" s="14">
        <f t="shared" si="8"/>
        <v>601</v>
      </c>
      <c r="B608" s="15" t="s">
        <v>1246</v>
      </c>
      <c r="C608" s="15"/>
      <c r="D608" s="2" t="s">
        <v>1246</v>
      </c>
      <c r="E608" s="16">
        <v>4</v>
      </c>
      <c r="F608" s="17">
        <v>45336</v>
      </c>
      <c r="G608" s="18" t="s">
        <v>619</v>
      </c>
      <c r="H608" s="18" t="s">
        <v>36</v>
      </c>
      <c r="I608" s="19">
        <v>20</v>
      </c>
      <c r="J608" s="18" t="s">
        <v>234</v>
      </c>
      <c r="K608" s="19" t="s">
        <v>1245</v>
      </c>
      <c r="L608" s="14" t="s">
        <v>38</v>
      </c>
      <c r="M608" s="49"/>
    </row>
    <row r="609" spans="1:13" ht="13.5" hidden="1" customHeight="1">
      <c r="A609" s="26">
        <f t="shared" si="8"/>
        <v>602</v>
      </c>
      <c r="B609" s="27" t="s">
        <v>1156</v>
      </c>
      <c r="C609" s="27"/>
      <c r="D609" s="28" t="s">
        <v>1157</v>
      </c>
      <c r="E609" s="29">
        <v>7</v>
      </c>
      <c r="F609" s="30">
        <v>45336</v>
      </c>
      <c r="G609" s="31" t="s">
        <v>619</v>
      </c>
      <c r="H609" s="31" t="s">
        <v>36</v>
      </c>
      <c r="I609" s="32">
        <v>49</v>
      </c>
      <c r="J609" s="31" t="s">
        <v>234</v>
      </c>
      <c r="K609" s="32" t="s">
        <v>1245</v>
      </c>
      <c r="L609" s="14" t="s">
        <v>38</v>
      </c>
      <c r="M609" s="49"/>
    </row>
    <row r="610" spans="1:13" ht="13.5" hidden="1" customHeight="1">
      <c r="A610" s="14">
        <f t="shared" si="8"/>
        <v>603</v>
      </c>
      <c r="B610" s="15" t="s">
        <v>1247</v>
      </c>
      <c r="C610" s="15"/>
      <c r="D610" s="2" t="s">
        <v>1248</v>
      </c>
      <c r="E610" s="16" t="s">
        <v>34</v>
      </c>
      <c r="F610" s="17">
        <v>45336</v>
      </c>
      <c r="G610" s="18" t="s">
        <v>1249</v>
      </c>
      <c r="H610" s="18" t="s">
        <v>36</v>
      </c>
      <c r="I610" s="19">
        <v>3</v>
      </c>
      <c r="J610" s="18" t="s">
        <v>1250</v>
      </c>
      <c r="K610" s="19" t="s">
        <v>1245</v>
      </c>
      <c r="L610" s="14" t="s">
        <v>38</v>
      </c>
      <c r="M610" s="49"/>
    </row>
    <row r="611" spans="1:13" ht="13.5" hidden="1" customHeight="1">
      <c r="A611" s="14">
        <f t="shared" si="8"/>
        <v>604</v>
      </c>
      <c r="B611" s="15" t="s">
        <v>1251</v>
      </c>
      <c r="C611" s="15"/>
      <c r="D611" s="2" t="s">
        <v>1252</v>
      </c>
      <c r="E611" s="16" t="s">
        <v>34</v>
      </c>
      <c r="F611" s="17">
        <v>45336</v>
      </c>
      <c r="G611" s="18" t="s">
        <v>1249</v>
      </c>
      <c r="H611" s="18" t="s">
        <v>36</v>
      </c>
      <c r="I611" s="19">
        <v>3</v>
      </c>
      <c r="J611" s="18" t="s">
        <v>1250</v>
      </c>
      <c r="K611" s="19" t="s">
        <v>1245</v>
      </c>
      <c r="L611" s="14" t="s">
        <v>38</v>
      </c>
      <c r="M611" s="49"/>
    </row>
    <row r="612" spans="1:13" ht="13.5" hidden="1" customHeight="1">
      <c r="A612" s="14">
        <f t="shared" si="8"/>
        <v>605</v>
      </c>
      <c r="B612" s="15" t="s">
        <v>1253</v>
      </c>
      <c r="C612" s="15"/>
      <c r="D612" s="2" t="s">
        <v>1254</v>
      </c>
      <c r="E612" s="16" t="s">
        <v>34</v>
      </c>
      <c r="F612" s="17">
        <v>45336</v>
      </c>
      <c r="G612" s="18" t="s">
        <v>1249</v>
      </c>
      <c r="H612" s="18" t="s">
        <v>36</v>
      </c>
      <c r="I612" s="19">
        <v>3</v>
      </c>
      <c r="J612" s="18" t="s">
        <v>1250</v>
      </c>
      <c r="K612" s="19" t="s">
        <v>1245</v>
      </c>
      <c r="L612" s="14" t="s">
        <v>38</v>
      </c>
      <c r="M612" s="49"/>
    </row>
    <row r="613" spans="1:13" ht="13.5" hidden="1" customHeight="1">
      <c r="A613" s="14">
        <f t="shared" si="8"/>
        <v>606</v>
      </c>
      <c r="B613" s="15" t="s">
        <v>1255</v>
      </c>
      <c r="C613" s="15"/>
      <c r="D613" s="2" t="s">
        <v>1256</v>
      </c>
      <c r="E613" s="16">
        <v>4</v>
      </c>
      <c r="F613" s="17">
        <v>45336</v>
      </c>
      <c r="G613" s="18" t="s">
        <v>152</v>
      </c>
      <c r="H613" s="18" t="s">
        <v>36</v>
      </c>
      <c r="I613" s="19">
        <v>37</v>
      </c>
      <c r="J613" s="18" t="s">
        <v>234</v>
      </c>
      <c r="K613" s="19" t="s">
        <v>1245</v>
      </c>
      <c r="L613" s="14" t="s">
        <v>38</v>
      </c>
      <c r="M613" s="49"/>
    </row>
    <row r="614" spans="1:13" ht="13.5" hidden="1" customHeight="1">
      <c r="A614" s="14">
        <f t="shared" si="8"/>
        <v>607</v>
      </c>
      <c r="B614" s="15" t="s">
        <v>1257</v>
      </c>
      <c r="C614" s="15"/>
      <c r="D614" s="2" t="s">
        <v>1258</v>
      </c>
      <c r="E614" s="16">
        <v>6</v>
      </c>
      <c r="F614" s="17">
        <v>45336</v>
      </c>
      <c r="G614" s="18" t="s">
        <v>152</v>
      </c>
      <c r="H614" s="18" t="s">
        <v>36</v>
      </c>
      <c r="I614" s="19">
        <v>18</v>
      </c>
      <c r="J614" s="18" t="s">
        <v>234</v>
      </c>
      <c r="K614" s="19" t="s">
        <v>1245</v>
      </c>
      <c r="L614" s="14" t="s">
        <v>38</v>
      </c>
      <c r="M614" s="49"/>
    </row>
    <row r="615" spans="1:13" ht="13.5" hidden="1" customHeight="1">
      <c r="A615" s="26">
        <f t="shared" si="8"/>
        <v>608</v>
      </c>
      <c r="B615" s="27" t="s">
        <v>1259</v>
      </c>
      <c r="C615" s="27"/>
      <c r="D615" s="28" t="s">
        <v>1102</v>
      </c>
      <c r="E615" s="29">
        <v>2</v>
      </c>
      <c r="F615" s="30">
        <v>45336</v>
      </c>
      <c r="G615" s="31" t="s">
        <v>152</v>
      </c>
      <c r="H615" s="31" t="s">
        <v>36</v>
      </c>
      <c r="I615" s="32">
        <v>23</v>
      </c>
      <c r="J615" s="31" t="s">
        <v>234</v>
      </c>
      <c r="K615" s="32" t="s">
        <v>1245</v>
      </c>
      <c r="L615" s="14" t="s">
        <v>38</v>
      </c>
      <c r="M615" s="49"/>
    </row>
    <row r="616" spans="1:13" ht="13.5" hidden="1" customHeight="1">
      <c r="A616" s="14">
        <f t="shared" si="8"/>
        <v>609</v>
      </c>
      <c r="B616" s="15" t="s">
        <v>1260</v>
      </c>
      <c r="C616" s="15"/>
      <c r="D616" s="2" t="s">
        <v>1175</v>
      </c>
      <c r="E616" s="16">
        <v>1</v>
      </c>
      <c r="F616" s="17">
        <v>45336</v>
      </c>
      <c r="G616" s="18" t="s">
        <v>619</v>
      </c>
      <c r="H616" s="18" t="s">
        <v>36</v>
      </c>
      <c r="I616" s="19">
        <v>13</v>
      </c>
      <c r="J616" s="18" t="s">
        <v>234</v>
      </c>
      <c r="K616" s="19" t="s">
        <v>1245</v>
      </c>
      <c r="L616" s="14" t="s">
        <v>38</v>
      </c>
      <c r="M616" s="49"/>
    </row>
    <row r="617" spans="1:13" ht="13.5" hidden="1" customHeight="1">
      <c r="A617" s="14">
        <f t="shared" si="8"/>
        <v>610</v>
      </c>
      <c r="B617" s="15" t="s">
        <v>1261</v>
      </c>
      <c r="C617" s="15"/>
      <c r="D617" s="2" t="s">
        <v>1262</v>
      </c>
      <c r="E617" s="16">
        <v>0</v>
      </c>
      <c r="F617" s="17">
        <v>45336</v>
      </c>
      <c r="G617" s="18" t="s">
        <v>619</v>
      </c>
      <c r="H617" s="18" t="s">
        <v>36</v>
      </c>
      <c r="I617" s="19">
        <v>37</v>
      </c>
      <c r="J617" s="18" t="s">
        <v>234</v>
      </c>
      <c r="K617" s="19" t="s">
        <v>1245</v>
      </c>
      <c r="L617" s="14" t="s">
        <v>38</v>
      </c>
      <c r="M617" s="49"/>
    </row>
    <row r="618" spans="1:13" ht="13.5" hidden="1" customHeight="1">
      <c r="A618" s="14">
        <f t="shared" si="8"/>
        <v>611</v>
      </c>
      <c r="B618" s="15" t="s">
        <v>1263</v>
      </c>
      <c r="C618" s="15"/>
      <c r="D618" s="2" t="s">
        <v>1264</v>
      </c>
      <c r="E618" s="16">
        <v>4</v>
      </c>
      <c r="F618" s="17">
        <v>45336</v>
      </c>
      <c r="G618" s="18" t="s">
        <v>619</v>
      </c>
      <c r="H618" s="18" t="s">
        <v>36</v>
      </c>
      <c r="I618" s="19">
        <v>32</v>
      </c>
      <c r="J618" s="18" t="s">
        <v>234</v>
      </c>
      <c r="K618" s="19" t="s">
        <v>1245</v>
      </c>
      <c r="L618" s="14" t="s">
        <v>38</v>
      </c>
      <c r="M618" s="49"/>
    </row>
    <row r="619" spans="1:13" ht="13.5" hidden="1" customHeight="1">
      <c r="A619" s="14">
        <f t="shared" si="8"/>
        <v>612</v>
      </c>
      <c r="B619" s="15" t="s">
        <v>1265</v>
      </c>
      <c r="C619" s="15"/>
      <c r="D619" s="2" t="s">
        <v>1266</v>
      </c>
      <c r="E619" s="16">
        <v>4</v>
      </c>
      <c r="F619" s="17">
        <v>45336</v>
      </c>
      <c r="G619" s="18" t="s">
        <v>619</v>
      </c>
      <c r="H619" s="18" t="s">
        <v>36</v>
      </c>
      <c r="I619" s="19">
        <v>46</v>
      </c>
      <c r="J619" s="18" t="s">
        <v>234</v>
      </c>
      <c r="K619" s="19" t="s">
        <v>1245</v>
      </c>
      <c r="L619" s="14" t="s">
        <v>38</v>
      </c>
      <c r="M619" s="49"/>
    </row>
    <row r="620" spans="1:13" ht="13.5" hidden="1" customHeight="1">
      <c r="A620" s="20">
        <f t="shared" si="8"/>
        <v>613</v>
      </c>
      <c r="B620" s="21" t="s">
        <v>1267</v>
      </c>
      <c r="C620" s="21"/>
      <c r="D620" s="1" t="s">
        <v>34</v>
      </c>
      <c r="E620" s="22"/>
      <c r="F620" s="23">
        <v>45336</v>
      </c>
      <c r="G620" s="24" t="s">
        <v>633</v>
      </c>
      <c r="H620" s="24" t="s">
        <v>634</v>
      </c>
      <c r="I620" s="25" t="s">
        <v>34</v>
      </c>
      <c r="J620" s="24" t="s">
        <v>34</v>
      </c>
      <c r="K620" s="25" t="s">
        <v>1245</v>
      </c>
      <c r="L620" s="20" t="s">
        <v>38</v>
      </c>
      <c r="M620" s="49"/>
    </row>
    <row r="621" spans="1:13" ht="13.5" hidden="1" customHeight="1">
      <c r="A621" s="14">
        <f t="shared" si="8"/>
        <v>614</v>
      </c>
      <c r="B621" s="15" t="s">
        <v>1268</v>
      </c>
      <c r="C621" s="15"/>
      <c r="D621" s="2" t="s">
        <v>1269</v>
      </c>
      <c r="E621" s="16">
        <v>7</v>
      </c>
      <c r="F621" s="17">
        <v>45336</v>
      </c>
      <c r="G621" s="18" t="s">
        <v>619</v>
      </c>
      <c r="H621" s="18" t="s">
        <v>36</v>
      </c>
      <c r="I621" s="19">
        <v>38</v>
      </c>
      <c r="J621" s="18" t="s">
        <v>234</v>
      </c>
      <c r="K621" s="19" t="s">
        <v>1245</v>
      </c>
      <c r="L621" s="14" t="s">
        <v>38</v>
      </c>
      <c r="M621" s="49"/>
    </row>
    <row r="622" spans="1:13" ht="13.5" hidden="1" customHeight="1">
      <c r="A622" s="20">
        <f t="shared" si="8"/>
        <v>615</v>
      </c>
      <c r="B622" s="21" t="s">
        <v>1270</v>
      </c>
      <c r="C622" s="21"/>
      <c r="D622" s="1" t="s">
        <v>34</v>
      </c>
      <c r="E622" s="22"/>
      <c r="F622" s="23">
        <v>45336</v>
      </c>
      <c r="G622" s="24" t="s">
        <v>633</v>
      </c>
      <c r="H622" s="24" t="s">
        <v>634</v>
      </c>
      <c r="I622" s="25" t="s">
        <v>34</v>
      </c>
      <c r="J622" s="24" t="s">
        <v>34</v>
      </c>
      <c r="K622" s="25" t="s">
        <v>1245</v>
      </c>
      <c r="L622" s="20" t="s">
        <v>38</v>
      </c>
      <c r="M622" s="49"/>
    </row>
    <row r="623" spans="1:13" ht="13.5" hidden="1" customHeight="1">
      <c r="A623" s="14">
        <f t="shared" si="8"/>
        <v>616</v>
      </c>
      <c r="B623" s="15" t="s">
        <v>1271</v>
      </c>
      <c r="C623" s="15"/>
      <c r="D623" s="2" t="s">
        <v>1272</v>
      </c>
      <c r="E623" s="16">
        <v>3</v>
      </c>
      <c r="F623" s="17">
        <v>45336</v>
      </c>
      <c r="G623" s="18" t="s">
        <v>619</v>
      </c>
      <c r="H623" s="18" t="s">
        <v>36</v>
      </c>
      <c r="I623" s="19">
        <v>13</v>
      </c>
      <c r="J623" s="18" t="s">
        <v>234</v>
      </c>
      <c r="K623" s="19" t="s">
        <v>1245</v>
      </c>
      <c r="L623" s="14" t="s">
        <v>38</v>
      </c>
      <c r="M623" s="49"/>
    </row>
    <row r="624" spans="1:13" ht="13.5" hidden="1" customHeight="1">
      <c r="A624" s="14">
        <f t="shared" si="8"/>
        <v>617</v>
      </c>
      <c r="B624" s="15" t="s">
        <v>1273</v>
      </c>
      <c r="C624" s="15"/>
      <c r="D624" s="2" t="s">
        <v>1274</v>
      </c>
      <c r="E624" s="16">
        <v>3</v>
      </c>
      <c r="F624" s="17">
        <v>45336</v>
      </c>
      <c r="G624" s="18" t="s">
        <v>619</v>
      </c>
      <c r="H624" s="18" t="s">
        <v>36</v>
      </c>
      <c r="I624" s="19">
        <v>17</v>
      </c>
      <c r="J624" s="18" t="s">
        <v>234</v>
      </c>
      <c r="K624" s="19" t="s">
        <v>1245</v>
      </c>
      <c r="L624" s="14" t="s">
        <v>38</v>
      </c>
      <c r="M624" s="49"/>
    </row>
    <row r="625" spans="1:13" ht="13.5" hidden="1" customHeight="1">
      <c r="A625" s="14">
        <f t="shared" si="8"/>
        <v>618</v>
      </c>
      <c r="B625" s="15" t="s">
        <v>1275</v>
      </c>
      <c r="C625" s="15"/>
      <c r="D625" s="2" t="s">
        <v>1272</v>
      </c>
      <c r="E625" s="16">
        <v>3</v>
      </c>
      <c r="F625" s="17">
        <v>45336</v>
      </c>
      <c r="G625" s="18" t="s">
        <v>619</v>
      </c>
      <c r="H625" s="18" t="s">
        <v>36</v>
      </c>
      <c r="I625" s="19">
        <v>13</v>
      </c>
      <c r="J625" s="18" t="s">
        <v>234</v>
      </c>
      <c r="K625" s="19" t="s">
        <v>1245</v>
      </c>
      <c r="L625" s="14" t="s">
        <v>38</v>
      </c>
      <c r="M625" s="49"/>
    </row>
    <row r="626" spans="1:13" ht="13.5" hidden="1" customHeight="1">
      <c r="A626" s="14">
        <f t="shared" si="8"/>
        <v>619</v>
      </c>
      <c r="B626" s="15" t="s">
        <v>1276</v>
      </c>
      <c r="C626" s="15"/>
      <c r="D626" s="2" t="s">
        <v>1277</v>
      </c>
      <c r="E626" s="16">
        <v>3</v>
      </c>
      <c r="F626" s="17">
        <v>45336</v>
      </c>
      <c r="G626" s="18" t="s">
        <v>619</v>
      </c>
      <c r="H626" s="18" t="s">
        <v>36</v>
      </c>
      <c r="I626" s="19">
        <v>14</v>
      </c>
      <c r="J626" s="18" t="s">
        <v>234</v>
      </c>
      <c r="K626" s="19" t="s">
        <v>1245</v>
      </c>
      <c r="L626" s="14" t="s">
        <v>38</v>
      </c>
      <c r="M626" s="49"/>
    </row>
    <row r="627" spans="1:13" ht="13.5" hidden="1" customHeight="1">
      <c r="A627" s="20">
        <f t="shared" si="8"/>
        <v>620</v>
      </c>
      <c r="B627" s="21" t="s">
        <v>1278</v>
      </c>
      <c r="C627" s="21"/>
      <c r="D627" s="1" t="s">
        <v>34</v>
      </c>
      <c r="E627" s="22"/>
      <c r="F627" s="23">
        <v>45336</v>
      </c>
      <c r="G627" s="24" t="s">
        <v>633</v>
      </c>
      <c r="H627" s="24" t="s">
        <v>634</v>
      </c>
      <c r="I627" s="25" t="s">
        <v>34</v>
      </c>
      <c r="J627" s="24" t="s">
        <v>34</v>
      </c>
      <c r="K627" s="25" t="s">
        <v>1245</v>
      </c>
      <c r="L627" s="20" t="s">
        <v>38</v>
      </c>
      <c r="M627" s="49"/>
    </row>
    <row r="628" spans="1:13" ht="13.5" hidden="1" customHeight="1">
      <c r="A628" s="14">
        <f t="shared" si="8"/>
        <v>621</v>
      </c>
      <c r="B628" s="15" t="s">
        <v>1279</v>
      </c>
      <c r="C628" s="15"/>
      <c r="D628" s="2" t="s">
        <v>1280</v>
      </c>
      <c r="E628" s="16">
        <v>0</v>
      </c>
      <c r="F628" s="17">
        <v>45336</v>
      </c>
      <c r="G628" s="18" t="s">
        <v>619</v>
      </c>
      <c r="H628" s="18" t="s">
        <v>36</v>
      </c>
      <c r="I628" s="19">
        <v>19</v>
      </c>
      <c r="J628" s="18" t="s">
        <v>234</v>
      </c>
      <c r="K628" s="19" t="s">
        <v>1245</v>
      </c>
      <c r="L628" s="14" t="s">
        <v>38</v>
      </c>
      <c r="M628" s="49"/>
    </row>
    <row r="629" spans="1:13" ht="13.5" hidden="1" customHeight="1">
      <c r="A629" s="14">
        <f t="shared" si="8"/>
        <v>622</v>
      </c>
      <c r="B629" s="15" t="s">
        <v>1281</v>
      </c>
      <c r="C629" s="15"/>
      <c r="D629" s="2" t="s">
        <v>1282</v>
      </c>
      <c r="E629" s="16">
        <v>4</v>
      </c>
      <c r="F629" s="17">
        <v>45336</v>
      </c>
      <c r="G629" s="18" t="s">
        <v>619</v>
      </c>
      <c r="H629" s="18" t="s">
        <v>36</v>
      </c>
      <c r="I629" s="19">
        <v>23</v>
      </c>
      <c r="J629" s="18" t="s">
        <v>234</v>
      </c>
      <c r="K629" s="19" t="s">
        <v>1245</v>
      </c>
      <c r="L629" s="14" t="s">
        <v>38</v>
      </c>
      <c r="M629" s="49"/>
    </row>
    <row r="630" spans="1:13" ht="13.5" hidden="1" customHeight="1">
      <c r="A630" s="10"/>
      <c r="B630" s="11" t="s">
        <v>1283</v>
      </c>
      <c r="C630" s="11"/>
      <c r="D630" s="11"/>
      <c r="E630" s="12"/>
      <c r="F630" s="11"/>
      <c r="G630" s="11"/>
      <c r="H630" s="12"/>
      <c r="I630" s="12"/>
      <c r="J630" s="11"/>
      <c r="K630" s="13"/>
      <c r="L630" s="50"/>
      <c r="M630" s="49"/>
    </row>
    <row r="631" spans="1:13" ht="13.5" hidden="1" customHeight="1">
      <c r="A631" s="14">
        <f t="shared" si="8"/>
        <v>624</v>
      </c>
      <c r="B631" s="15" t="s">
        <v>1284</v>
      </c>
      <c r="C631" s="15"/>
      <c r="D631" s="2" t="s">
        <v>1285</v>
      </c>
      <c r="E631" s="16" t="s">
        <v>34</v>
      </c>
      <c r="F631" s="17">
        <v>45341</v>
      </c>
      <c r="G631" s="18" t="s">
        <v>35</v>
      </c>
      <c r="H631" s="18" t="s">
        <v>36</v>
      </c>
      <c r="I631" s="19" t="s">
        <v>34</v>
      </c>
      <c r="J631" s="18" t="s">
        <v>37</v>
      </c>
      <c r="K631" s="19"/>
      <c r="L631" s="14" t="s">
        <v>38</v>
      </c>
      <c r="M631" s="49"/>
    </row>
    <row r="632" spans="1:13" ht="13.5" hidden="1" customHeight="1">
      <c r="A632" s="14">
        <f t="shared" si="8"/>
        <v>625</v>
      </c>
      <c r="B632" s="15" t="s">
        <v>1286</v>
      </c>
      <c r="C632" s="15"/>
      <c r="D632" s="2" t="s">
        <v>1287</v>
      </c>
      <c r="E632" s="16" t="s">
        <v>34</v>
      </c>
      <c r="F632" s="17">
        <v>45341</v>
      </c>
      <c r="G632" s="18" t="s">
        <v>35</v>
      </c>
      <c r="H632" s="18" t="s">
        <v>36</v>
      </c>
      <c r="I632" s="19" t="s">
        <v>34</v>
      </c>
      <c r="J632" s="18" t="s">
        <v>37</v>
      </c>
      <c r="K632" s="19"/>
      <c r="L632" s="14" t="s">
        <v>38</v>
      </c>
      <c r="M632" s="49"/>
    </row>
    <row r="633" spans="1:13" ht="13.5" hidden="1" customHeight="1">
      <c r="A633" s="10"/>
      <c r="B633" s="11" t="s">
        <v>1288</v>
      </c>
      <c r="C633" s="11"/>
      <c r="D633" s="11"/>
      <c r="E633" s="12"/>
      <c r="F633" s="11"/>
      <c r="G633" s="11"/>
      <c r="H633" s="12"/>
      <c r="I633" s="12"/>
      <c r="J633" s="11"/>
      <c r="K633" s="13"/>
      <c r="L633" s="50"/>
      <c r="M633" s="49"/>
    </row>
    <row r="634" spans="1:13" ht="13.5" hidden="1" customHeight="1">
      <c r="A634" s="14">
        <f t="shared" si="8"/>
        <v>627</v>
      </c>
      <c r="B634" s="15" t="s">
        <v>1289</v>
      </c>
      <c r="C634" s="15"/>
      <c r="D634" s="2" t="s">
        <v>1290</v>
      </c>
      <c r="E634" s="16" t="s">
        <v>34</v>
      </c>
      <c r="F634" s="17">
        <v>45343</v>
      </c>
      <c r="G634" s="18" t="s">
        <v>35</v>
      </c>
      <c r="H634" s="18" t="s">
        <v>36</v>
      </c>
      <c r="I634" s="19" t="s">
        <v>34</v>
      </c>
      <c r="J634" s="18" t="s">
        <v>37</v>
      </c>
      <c r="K634" s="19"/>
      <c r="L634" s="14" t="s">
        <v>38</v>
      </c>
      <c r="M634" s="49"/>
    </row>
    <row r="635" spans="1:13" ht="13.5" hidden="1" customHeight="1">
      <c r="A635" s="10"/>
      <c r="B635" s="11" t="s">
        <v>1291</v>
      </c>
      <c r="C635" s="11"/>
      <c r="D635" s="11"/>
      <c r="E635" s="12"/>
      <c r="F635" s="11"/>
      <c r="G635" s="11"/>
      <c r="H635" s="12"/>
      <c r="I635" s="12"/>
      <c r="J635" s="11"/>
      <c r="K635" s="13"/>
      <c r="L635" s="50"/>
      <c r="M635" s="49"/>
    </row>
    <row r="636" spans="1:13" ht="13.5" hidden="1" customHeight="1">
      <c r="A636" s="14">
        <f t="shared" si="8"/>
        <v>629</v>
      </c>
      <c r="B636" s="15" t="s">
        <v>1292</v>
      </c>
      <c r="C636" s="15"/>
      <c r="D636" s="2" t="s">
        <v>1293</v>
      </c>
      <c r="E636" s="16" t="s">
        <v>34</v>
      </c>
      <c r="F636" s="17">
        <v>45344</v>
      </c>
      <c r="G636" s="18" t="s">
        <v>35</v>
      </c>
      <c r="H636" s="18" t="s">
        <v>36</v>
      </c>
      <c r="I636" s="19" t="s">
        <v>34</v>
      </c>
      <c r="J636" s="18" t="s">
        <v>37</v>
      </c>
      <c r="K636" s="19"/>
      <c r="L636" s="14" t="s">
        <v>38</v>
      </c>
      <c r="M636" s="49"/>
    </row>
    <row r="637" spans="1:13" ht="13.5" hidden="1" customHeight="1">
      <c r="A637" s="14">
        <f t="shared" si="8"/>
        <v>630</v>
      </c>
      <c r="B637" s="15" t="s">
        <v>1294</v>
      </c>
      <c r="C637" s="15"/>
      <c r="D637" s="2" t="s">
        <v>1295</v>
      </c>
      <c r="E637" s="16" t="s">
        <v>34</v>
      </c>
      <c r="F637" s="17">
        <v>45344</v>
      </c>
      <c r="G637" s="18" t="s">
        <v>609</v>
      </c>
      <c r="H637" s="18" t="s">
        <v>36</v>
      </c>
      <c r="I637" s="19">
        <v>16</v>
      </c>
      <c r="J637" s="18" t="s">
        <v>37</v>
      </c>
      <c r="K637" s="19"/>
      <c r="L637" s="14" t="s">
        <v>38</v>
      </c>
      <c r="M637" s="49"/>
    </row>
    <row r="638" spans="1:13" ht="13.5" hidden="1" customHeight="1">
      <c r="A638" s="10"/>
      <c r="B638" s="11" t="s">
        <v>1296</v>
      </c>
      <c r="C638" s="11"/>
      <c r="D638" s="11"/>
      <c r="E638" s="12"/>
      <c r="F638" s="11"/>
      <c r="G638" s="11"/>
      <c r="H638" s="12"/>
      <c r="I638" s="12"/>
      <c r="J638" s="11"/>
      <c r="K638" s="13"/>
      <c r="L638" s="50"/>
      <c r="M638" s="49"/>
    </row>
    <row r="639" spans="1:13" ht="13.5" hidden="1" customHeight="1">
      <c r="A639" s="14">
        <f t="shared" ref="A639:A702" si="9">ROW()-7</f>
        <v>632</v>
      </c>
      <c r="B639" s="15" t="s">
        <v>1297</v>
      </c>
      <c r="C639" s="15"/>
      <c r="D639" s="2" t="s">
        <v>1298</v>
      </c>
      <c r="E639" s="16" t="s">
        <v>34</v>
      </c>
      <c r="F639" s="17">
        <v>45345</v>
      </c>
      <c r="G639" s="18" t="s">
        <v>35</v>
      </c>
      <c r="H639" s="18" t="s">
        <v>36</v>
      </c>
      <c r="I639" s="19" t="s">
        <v>34</v>
      </c>
      <c r="J639" s="18" t="s">
        <v>37</v>
      </c>
      <c r="K639" s="19"/>
      <c r="L639" s="14" t="s">
        <v>38</v>
      </c>
      <c r="M639" s="49"/>
    </row>
    <row r="640" spans="1:13" ht="13.5" hidden="1" customHeight="1">
      <c r="A640" s="26">
        <f t="shared" si="9"/>
        <v>633</v>
      </c>
      <c r="B640" s="27" t="s">
        <v>342</v>
      </c>
      <c r="C640" s="27" t="s">
        <v>343</v>
      </c>
      <c r="D640" s="28" t="s">
        <v>344</v>
      </c>
      <c r="E640" s="29">
        <v>2</v>
      </c>
      <c r="F640" s="30">
        <v>45345</v>
      </c>
      <c r="G640" s="31" t="s">
        <v>14</v>
      </c>
      <c r="H640" s="31" t="s">
        <v>36</v>
      </c>
      <c r="I640" s="32">
        <v>1</v>
      </c>
      <c r="J640" s="31" t="s">
        <v>324</v>
      </c>
      <c r="K640" s="32" t="s">
        <v>325</v>
      </c>
      <c r="L640" s="14" t="s">
        <v>281</v>
      </c>
      <c r="M640" s="49" t="str">
        <f>+VLOOKUP(C640,'[1]Table 1'!$B:$B,1,0)</f>
        <v>4600022667-001-03350-202AT-00001</v>
      </c>
    </row>
    <row r="641" spans="1:13" ht="13.5" hidden="1" customHeight="1">
      <c r="A641" s="26">
        <f t="shared" si="9"/>
        <v>634</v>
      </c>
      <c r="B641" s="27" t="s">
        <v>345</v>
      </c>
      <c r="C641" s="27" t="s">
        <v>346</v>
      </c>
      <c r="D641" s="28" t="s">
        <v>347</v>
      </c>
      <c r="E641" s="29">
        <v>2</v>
      </c>
      <c r="F641" s="30">
        <v>45345</v>
      </c>
      <c r="G641" s="31" t="s">
        <v>14</v>
      </c>
      <c r="H641" s="31" t="s">
        <v>36</v>
      </c>
      <c r="I641" s="32">
        <v>1</v>
      </c>
      <c r="J641" s="31" t="s">
        <v>324</v>
      </c>
      <c r="K641" s="32" t="s">
        <v>325</v>
      </c>
      <c r="L641" s="14" t="s">
        <v>281</v>
      </c>
      <c r="M641" s="49" t="str">
        <f>+VLOOKUP(C641,'[1]Table 1'!$B:$B,1,0)</f>
        <v>4600022667-001-03350-202AT-00002</v>
      </c>
    </row>
    <row r="642" spans="1:13" ht="13.5" hidden="1" customHeight="1">
      <c r="A642" s="26">
        <f t="shared" si="9"/>
        <v>635</v>
      </c>
      <c r="B642" s="27" t="s">
        <v>419</v>
      </c>
      <c r="C642" s="27" t="s">
        <v>420</v>
      </c>
      <c r="D642" s="28" t="s">
        <v>421</v>
      </c>
      <c r="E642" s="29">
        <v>0</v>
      </c>
      <c r="F642" s="30">
        <v>45345</v>
      </c>
      <c r="G642" s="31" t="s">
        <v>14</v>
      </c>
      <c r="H642" s="31" t="s">
        <v>36</v>
      </c>
      <c r="I642" s="32">
        <v>1</v>
      </c>
      <c r="J642" s="31" t="s">
        <v>324</v>
      </c>
      <c r="K642" s="32" t="s">
        <v>325</v>
      </c>
      <c r="L642" s="14" t="s">
        <v>281</v>
      </c>
      <c r="M642" s="49" t="str">
        <f>+VLOOKUP(C642,'[1]Table 1'!$B:$B,1,0)</f>
        <v>4600022667-001-03350-227AT-00005</v>
      </c>
    </row>
    <row r="643" spans="1:13" ht="13.5" customHeight="1">
      <c r="A643" s="26">
        <f t="shared" si="9"/>
        <v>636</v>
      </c>
      <c r="B643" s="27" t="s">
        <v>422</v>
      </c>
      <c r="C643" s="27" t="s">
        <v>423</v>
      </c>
      <c r="D643" s="28" t="s">
        <v>424</v>
      </c>
      <c r="E643" s="29">
        <v>0</v>
      </c>
      <c r="F643" s="30">
        <v>45345</v>
      </c>
      <c r="G643" s="31" t="s">
        <v>14</v>
      </c>
      <c r="H643" s="31" t="s">
        <v>36</v>
      </c>
      <c r="I643" s="32">
        <v>1</v>
      </c>
      <c r="J643" s="31" t="s">
        <v>324</v>
      </c>
      <c r="K643" s="32" t="s">
        <v>325</v>
      </c>
      <c r="L643" s="14" t="s">
        <v>281</v>
      </c>
      <c r="M643" s="49" t="e">
        <f>+VLOOKUP(C643,'[1]Table 1'!$B:$B,1,0)</f>
        <v>#N/A</v>
      </c>
    </row>
    <row r="644" spans="1:13" ht="13.5" hidden="1" customHeight="1">
      <c r="A644" s="26">
        <f t="shared" si="9"/>
        <v>637</v>
      </c>
      <c r="B644" s="27" t="s">
        <v>443</v>
      </c>
      <c r="C644" s="27" t="s">
        <v>444</v>
      </c>
      <c r="D644" s="28" t="s">
        <v>445</v>
      </c>
      <c r="E644" s="29">
        <v>0</v>
      </c>
      <c r="F644" s="30">
        <v>45345</v>
      </c>
      <c r="G644" s="31" t="s">
        <v>7</v>
      </c>
      <c r="H644" s="31" t="s">
        <v>36</v>
      </c>
      <c r="I644" s="32">
        <v>8</v>
      </c>
      <c r="J644" s="31" t="s">
        <v>324</v>
      </c>
      <c r="K644" s="32" t="s">
        <v>325</v>
      </c>
      <c r="L644" s="14" t="s">
        <v>281</v>
      </c>
      <c r="M644" s="49" t="str">
        <f>+VLOOKUP(C644,'[1]Table 1'!$B:$B,1,0)</f>
        <v>4600022667-001-03350-CUBAT-00001</v>
      </c>
    </row>
    <row r="645" spans="1:13" ht="13.5" hidden="1" customHeight="1">
      <c r="A645" s="26">
        <f t="shared" si="9"/>
        <v>638</v>
      </c>
      <c r="B645" s="27" t="s">
        <v>449</v>
      </c>
      <c r="C645" s="27" t="s">
        <v>450</v>
      </c>
      <c r="D645" s="28" t="s">
        <v>451</v>
      </c>
      <c r="E645" s="29">
        <v>1</v>
      </c>
      <c r="F645" s="30">
        <v>45345</v>
      </c>
      <c r="G645" s="31" t="s">
        <v>8</v>
      </c>
      <c r="H645" s="31" t="s">
        <v>36</v>
      </c>
      <c r="I645" s="32">
        <v>27</v>
      </c>
      <c r="J645" s="31" t="s">
        <v>324</v>
      </c>
      <c r="K645" s="32" t="s">
        <v>325</v>
      </c>
      <c r="L645" s="14" t="s">
        <v>281</v>
      </c>
      <c r="M645" s="49" t="str">
        <f>+VLOOKUP(C645,'[1]Table 1'!$B:$B,1,0)</f>
        <v>4600022667-001-03350-ESPAT-00005</v>
      </c>
    </row>
    <row r="646" spans="1:13" ht="13.5" hidden="1" customHeight="1">
      <c r="A646" s="14">
        <f t="shared" si="9"/>
        <v>639</v>
      </c>
      <c r="B646" s="15" t="s">
        <v>1299</v>
      </c>
      <c r="C646" s="15" t="s">
        <v>1300</v>
      </c>
      <c r="D646" s="2" t="s">
        <v>1301</v>
      </c>
      <c r="E646" s="16" t="s">
        <v>335</v>
      </c>
      <c r="F646" s="17">
        <v>45345</v>
      </c>
      <c r="G646" s="18" t="s">
        <v>14</v>
      </c>
      <c r="H646" s="18" t="s">
        <v>36</v>
      </c>
      <c r="I646" s="19">
        <v>1</v>
      </c>
      <c r="J646" s="18" t="s">
        <v>491</v>
      </c>
      <c r="K646" s="19" t="s">
        <v>492</v>
      </c>
      <c r="L646" s="14" t="s">
        <v>281</v>
      </c>
      <c r="M646" s="49" t="str">
        <f>+VLOOKUP(C646,'[1]Table 1'!$B:$B,1,0)</f>
        <v>4600022667-001-03350-000CA-00001</v>
      </c>
    </row>
    <row r="647" spans="1:13" ht="13.5" hidden="1" customHeight="1">
      <c r="A647" s="14">
        <f t="shared" si="9"/>
        <v>640</v>
      </c>
      <c r="B647" s="15" t="s">
        <v>1302</v>
      </c>
      <c r="C647" s="15" t="s">
        <v>1303</v>
      </c>
      <c r="D647" s="2" t="s">
        <v>1304</v>
      </c>
      <c r="E647" s="16" t="s">
        <v>335</v>
      </c>
      <c r="F647" s="17">
        <v>45345</v>
      </c>
      <c r="G647" s="18" t="s">
        <v>14</v>
      </c>
      <c r="H647" s="18" t="s">
        <v>36</v>
      </c>
      <c r="I647" s="19">
        <v>1</v>
      </c>
      <c r="J647" s="18" t="s">
        <v>491</v>
      </c>
      <c r="K647" s="19" t="s">
        <v>492</v>
      </c>
      <c r="L647" s="14" t="s">
        <v>281</v>
      </c>
      <c r="M647" s="49" t="str">
        <f>+VLOOKUP(C647,'[1]Table 1'!$B:$B,1,0)</f>
        <v>4600022667-001-03350-000CA-00002</v>
      </c>
    </row>
    <row r="648" spans="1:13" ht="13.5" hidden="1" customHeight="1">
      <c r="A648" s="14">
        <f t="shared" si="9"/>
        <v>641</v>
      </c>
      <c r="B648" s="15" t="s">
        <v>1305</v>
      </c>
      <c r="C648" s="15" t="s">
        <v>1306</v>
      </c>
      <c r="D648" s="2" t="s">
        <v>1307</v>
      </c>
      <c r="E648" s="16" t="s">
        <v>335</v>
      </c>
      <c r="F648" s="17">
        <v>45345</v>
      </c>
      <c r="G648" s="18" t="s">
        <v>14</v>
      </c>
      <c r="H648" s="18" t="s">
        <v>36</v>
      </c>
      <c r="I648" s="19">
        <v>1</v>
      </c>
      <c r="J648" s="18" t="s">
        <v>491</v>
      </c>
      <c r="K648" s="19" t="s">
        <v>492</v>
      </c>
      <c r="L648" s="14" t="s">
        <v>281</v>
      </c>
      <c r="M648" s="49" t="str">
        <f>+VLOOKUP(C648,'[1]Table 1'!$B:$B,1,0)</f>
        <v>4600022667-001-03350-000CA-00003</v>
      </c>
    </row>
    <row r="649" spans="1:13" ht="13.5" hidden="1" customHeight="1">
      <c r="A649" s="14">
        <f t="shared" si="9"/>
        <v>642</v>
      </c>
      <c r="B649" s="15" t="s">
        <v>1308</v>
      </c>
      <c r="C649" s="15" t="s">
        <v>1309</v>
      </c>
      <c r="D649" s="2" t="s">
        <v>1310</v>
      </c>
      <c r="E649" s="16" t="s">
        <v>335</v>
      </c>
      <c r="F649" s="17">
        <v>45345</v>
      </c>
      <c r="G649" s="18" t="s">
        <v>14</v>
      </c>
      <c r="H649" s="18" t="s">
        <v>36</v>
      </c>
      <c r="I649" s="19">
        <v>1</v>
      </c>
      <c r="J649" s="18" t="s">
        <v>491</v>
      </c>
      <c r="K649" s="19" t="s">
        <v>492</v>
      </c>
      <c r="L649" s="14" t="s">
        <v>281</v>
      </c>
      <c r="M649" s="49" t="str">
        <f>+VLOOKUP(C649,'[1]Table 1'!$B:$B,1,0)</f>
        <v>4600022667-001-03350-100CA-00001</v>
      </c>
    </row>
    <row r="650" spans="1:13" ht="13.5" hidden="1" customHeight="1">
      <c r="A650" s="14">
        <f t="shared" si="9"/>
        <v>643</v>
      </c>
      <c r="B650" s="15" t="s">
        <v>1311</v>
      </c>
      <c r="C650" s="15" t="s">
        <v>1312</v>
      </c>
      <c r="D650" s="2" t="s">
        <v>1313</v>
      </c>
      <c r="E650" s="16" t="s">
        <v>335</v>
      </c>
      <c r="F650" s="17">
        <v>45345</v>
      </c>
      <c r="G650" s="18" t="s">
        <v>14</v>
      </c>
      <c r="H650" s="18" t="s">
        <v>36</v>
      </c>
      <c r="I650" s="19">
        <v>1</v>
      </c>
      <c r="J650" s="18" t="s">
        <v>491</v>
      </c>
      <c r="K650" s="19" t="s">
        <v>492</v>
      </c>
      <c r="L650" s="14" t="s">
        <v>281</v>
      </c>
      <c r="M650" s="49" t="str">
        <f>+VLOOKUP(C650,'[1]Table 1'!$B:$B,1,0)</f>
        <v>4600022667-001-03350-100CA-00002</v>
      </c>
    </row>
    <row r="651" spans="1:13" ht="13.5" hidden="1" customHeight="1">
      <c r="A651" s="14">
        <f t="shared" si="9"/>
        <v>644</v>
      </c>
      <c r="B651" s="15" t="s">
        <v>1314</v>
      </c>
      <c r="C651" s="15" t="s">
        <v>1315</v>
      </c>
      <c r="D651" s="2" t="s">
        <v>1316</v>
      </c>
      <c r="E651" s="16" t="s">
        <v>335</v>
      </c>
      <c r="F651" s="17">
        <v>45345</v>
      </c>
      <c r="G651" s="18" t="s">
        <v>14</v>
      </c>
      <c r="H651" s="18" t="s">
        <v>36</v>
      </c>
      <c r="I651" s="19">
        <v>1</v>
      </c>
      <c r="J651" s="18" t="s">
        <v>491</v>
      </c>
      <c r="K651" s="19" t="s">
        <v>492</v>
      </c>
      <c r="L651" s="14" t="s">
        <v>281</v>
      </c>
      <c r="M651" s="49" t="str">
        <f>+VLOOKUP(C651,'[1]Table 1'!$B:$B,1,0)</f>
        <v>4600022667-001-03350-100CA-00003</v>
      </c>
    </row>
    <row r="652" spans="1:13" ht="13.5" hidden="1" customHeight="1">
      <c r="A652" s="14">
        <f t="shared" si="9"/>
        <v>645</v>
      </c>
      <c r="B652" s="15" t="s">
        <v>1317</v>
      </c>
      <c r="C652" s="15" t="s">
        <v>1318</v>
      </c>
      <c r="D652" s="2" t="s">
        <v>1319</v>
      </c>
      <c r="E652" s="16" t="s">
        <v>335</v>
      </c>
      <c r="F652" s="17">
        <v>45345</v>
      </c>
      <c r="G652" s="18" t="s">
        <v>14</v>
      </c>
      <c r="H652" s="18" t="s">
        <v>36</v>
      </c>
      <c r="I652" s="19">
        <v>1</v>
      </c>
      <c r="J652" s="18" t="s">
        <v>491</v>
      </c>
      <c r="K652" s="19" t="s">
        <v>492</v>
      </c>
      <c r="L652" s="14" t="s">
        <v>281</v>
      </c>
      <c r="M652" s="49" t="str">
        <f>+VLOOKUP(C652,'[1]Table 1'!$B:$B,1,0)</f>
        <v>4600022667-001-03350-102CA-00001</v>
      </c>
    </row>
    <row r="653" spans="1:13" ht="13.5" hidden="1" customHeight="1">
      <c r="A653" s="14">
        <f t="shared" si="9"/>
        <v>646</v>
      </c>
      <c r="B653" s="15" t="s">
        <v>1320</v>
      </c>
      <c r="C653" s="15" t="s">
        <v>1321</v>
      </c>
      <c r="D653" s="2" t="s">
        <v>1322</v>
      </c>
      <c r="E653" s="16" t="s">
        <v>335</v>
      </c>
      <c r="F653" s="17">
        <v>45345</v>
      </c>
      <c r="G653" s="18" t="s">
        <v>14</v>
      </c>
      <c r="H653" s="18" t="s">
        <v>36</v>
      </c>
      <c r="I653" s="19">
        <v>1</v>
      </c>
      <c r="J653" s="18" t="s">
        <v>491</v>
      </c>
      <c r="K653" s="19" t="s">
        <v>492</v>
      </c>
      <c r="L653" s="14" t="s">
        <v>281</v>
      </c>
      <c r="M653" s="49" t="str">
        <f>+VLOOKUP(C653,'[1]Table 1'!$B:$B,1,0)</f>
        <v>4600022667-001-03350-102CA-00002</v>
      </c>
    </row>
    <row r="654" spans="1:13" ht="13.5" hidden="1" customHeight="1">
      <c r="A654" s="14">
        <f t="shared" si="9"/>
        <v>647</v>
      </c>
      <c r="B654" s="15" t="s">
        <v>1323</v>
      </c>
      <c r="C654" s="15" t="s">
        <v>1324</v>
      </c>
      <c r="D654" s="2" t="s">
        <v>1325</v>
      </c>
      <c r="E654" s="16" t="s">
        <v>335</v>
      </c>
      <c r="F654" s="17">
        <v>45345</v>
      </c>
      <c r="G654" s="18" t="s">
        <v>14</v>
      </c>
      <c r="H654" s="18" t="s">
        <v>36</v>
      </c>
      <c r="I654" s="19">
        <v>1</v>
      </c>
      <c r="J654" s="18" t="s">
        <v>491</v>
      </c>
      <c r="K654" s="19" t="s">
        <v>492</v>
      </c>
      <c r="L654" s="14" t="s">
        <v>281</v>
      </c>
      <c r="M654" s="49" t="str">
        <f>+VLOOKUP(C654,'[1]Table 1'!$B:$B,1,0)</f>
        <v>4600022667-001-03350-102CA-00003</v>
      </c>
    </row>
    <row r="655" spans="1:13" ht="13.5" hidden="1" customHeight="1">
      <c r="A655" s="14">
        <f t="shared" si="9"/>
        <v>648</v>
      </c>
      <c r="B655" s="15" t="s">
        <v>1326</v>
      </c>
      <c r="C655" s="15" t="s">
        <v>1327</v>
      </c>
      <c r="D655" s="2" t="s">
        <v>1328</v>
      </c>
      <c r="E655" s="16" t="s">
        <v>335</v>
      </c>
      <c r="F655" s="17">
        <v>45345</v>
      </c>
      <c r="G655" s="18" t="s">
        <v>14</v>
      </c>
      <c r="H655" s="18" t="s">
        <v>36</v>
      </c>
      <c r="I655" s="19">
        <v>1</v>
      </c>
      <c r="J655" s="18" t="s">
        <v>491</v>
      </c>
      <c r="K655" s="19" t="s">
        <v>492</v>
      </c>
      <c r="L655" s="14" t="s">
        <v>281</v>
      </c>
      <c r="M655" s="49" t="str">
        <f>+VLOOKUP(C655,'[1]Table 1'!$B:$B,1,0)</f>
        <v>4600022667-001-03350-102CA-00004</v>
      </c>
    </row>
    <row r="656" spans="1:13" ht="13.5" hidden="1" customHeight="1">
      <c r="A656" s="14">
        <f t="shared" si="9"/>
        <v>649</v>
      </c>
      <c r="B656" s="15" t="s">
        <v>1329</v>
      </c>
      <c r="C656" s="15" t="s">
        <v>1330</v>
      </c>
      <c r="D656" s="2" t="s">
        <v>1331</v>
      </c>
      <c r="E656" s="16" t="s">
        <v>335</v>
      </c>
      <c r="F656" s="17">
        <v>45345</v>
      </c>
      <c r="G656" s="18" t="s">
        <v>14</v>
      </c>
      <c r="H656" s="18" t="s">
        <v>36</v>
      </c>
      <c r="I656" s="19">
        <v>1</v>
      </c>
      <c r="J656" s="18" t="s">
        <v>491</v>
      </c>
      <c r="K656" s="19" t="s">
        <v>492</v>
      </c>
      <c r="L656" s="14" t="s">
        <v>281</v>
      </c>
      <c r="M656" s="49" t="str">
        <f>+VLOOKUP(C656,'[1]Table 1'!$B:$B,1,0)</f>
        <v>4600022667-001-03350-102CA-00005</v>
      </c>
    </row>
    <row r="657" spans="1:13" ht="13.5" hidden="1" customHeight="1">
      <c r="A657" s="14">
        <f t="shared" si="9"/>
        <v>650</v>
      </c>
      <c r="B657" s="15" t="s">
        <v>1332</v>
      </c>
      <c r="C657" s="15" t="s">
        <v>1333</v>
      </c>
      <c r="D657" s="2" t="s">
        <v>1334</v>
      </c>
      <c r="E657" s="16" t="s">
        <v>335</v>
      </c>
      <c r="F657" s="17">
        <v>45345</v>
      </c>
      <c r="G657" s="18" t="s">
        <v>14</v>
      </c>
      <c r="H657" s="18" t="s">
        <v>36</v>
      </c>
      <c r="I657" s="19">
        <v>1</v>
      </c>
      <c r="J657" s="18" t="s">
        <v>491</v>
      </c>
      <c r="K657" s="19" t="s">
        <v>492</v>
      </c>
      <c r="L657" s="14" t="s">
        <v>281</v>
      </c>
      <c r="M657" s="49" t="str">
        <f>+VLOOKUP(C657,'[1]Table 1'!$B:$B,1,0)</f>
        <v>4600022667-001-03350-102CA-00007</v>
      </c>
    </row>
    <row r="658" spans="1:13" ht="13.5" hidden="1" customHeight="1">
      <c r="A658" s="14">
        <f t="shared" si="9"/>
        <v>651</v>
      </c>
      <c r="B658" s="15" t="s">
        <v>1335</v>
      </c>
      <c r="C658" s="15" t="s">
        <v>1336</v>
      </c>
      <c r="D658" s="2" t="s">
        <v>1337</v>
      </c>
      <c r="E658" s="16" t="s">
        <v>335</v>
      </c>
      <c r="F658" s="17">
        <v>45345</v>
      </c>
      <c r="G658" s="18" t="s">
        <v>14</v>
      </c>
      <c r="H658" s="18" t="s">
        <v>36</v>
      </c>
      <c r="I658" s="19">
        <v>1</v>
      </c>
      <c r="J658" s="18" t="s">
        <v>491</v>
      </c>
      <c r="K658" s="19" t="s">
        <v>492</v>
      </c>
      <c r="L658" s="14" t="s">
        <v>281</v>
      </c>
      <c r="M658" s="49" t="str">
        <f>+VLOOKUP(C658,'[1]Table 1'!$B:$B,1,0)</f>
        <v>4600022667-001-03350-102CA-00010</v>
      </c>
    </row>
    <row r="659" spans="1:13" ht="13.5" hidden="1" customHeight="1">
      <c r="A659" s="26">
        <f t="shared" si="9"/>
        <v>652</v>
      </c>
      <c r="B659" s="27" t="s">
        <v>539</v>
      </c>
      <c r="C659" s="27" t="s">
        <v>540</v>
      </c>
      <c r="D659" s="28" t="s">
        <v>541</v>
      </c>
      <c r="E659" s="29">
        <v>1</v>
      </c>
      <c r="F659" s="30">
        <v>45345</v>
      </c>
      <c r="G659" s="31" t="s">
        <v>14</v>
      </c>
      <c r="H659" s="31" t="s">
        <v>36</v>
      </c>
      <c r="I659" s="32">
        <v>1</v>
      </c>
      <c r="J659" s="31" t="s">
        <v>491</v>
      </c>
      <c r="K659" s="32" t="s">
        <v>492</v>
      </c>
      <c r="L659" s="14" t="s">
        <v>281</v>
      </c>
      <c r="M659" s="49" t="str">
        <f>+VLOOKUP(C659,'[1]Table 1'!$B:$B,1,0)</f>
        <v>4600022667-001-03350-205CA-00003</v>
      </c>
    </row>
    <row r="660" spans="1:13" ht="13.5" hidden="1" customHeight="1">
      <c r="A660" s="14">
        <f t="shared" si="9"/>
        <v>653</v>
      </c>
      <c r="B660" s="15" t="s">
        <v>1338</v>
      </c>
      <c r="C660" s="15" t="s">
        <v>1339</v>
      </c>
      <c r="D660" s="2" t="s">
        <v>1340</v>
      </c>
      <c r="E660" s="16">
        <v>0</v>
      </c>
      <c r="F660" s="17">
        <v>45345</v>
      </c>
      <c r="G660" s="18" t="s">
        <v>10</v>
      </c>
      <c r="H660" s="18" t="s">
        <v>36</v>
      </c>
      <c r="I660" s="19">
        <v>12</v>
      </c>
      <c r="J660" s="18" t="s">
        <v>37</v>
      </c>
      <c r="K660" s="19" t="s">
        <v>1341</v>
      </c>
      <c r="L660" s="14" t="s">
        <v>281</v>
      </c>
      <c r="M660" s="49" t="str">
        <f>+VLOOKUP(C660,'[1]Table 1'!$B:$B,1,0)</f>
        <v>4600022667-001-03350-INFCB-00001</v>
      </c>
    </row>
    <row r="661" spans="1:13" ht="13.5" hidden="1" customHeight="1">
      <c r="A661" s="14">
        <f t="shared" si="9"/>
        <v>654</v>
      </c>
      <c r="B661" s="15" t="s">
        <v>1342</v>
      </c>
      <c r="C661" s="15" t="s">
        <v>1343</v>
      </c>
      <c r="D661" s="2" t="s">
        <v>1344</v>
      </c>
      <c r="E661" s="16">
        <v>3</v>
      </c>
      <c r="F661" s="17">
        <v>45345</v>
      </c>
      <c r="G661" s="18" t="s">
        <v>14</v>
      </c>
      <c r="H661" s="18" t="s">
        <v>36</v>
      </c>
      <c r="I661" s="19">
        <v>1</v>
      </c>
      <c r="J661" s="18" t="s">
        <v>1345</v>
      </c>
      <c r="K661" s="19" t="s">
        <v>1346</v>
      </c>
      <c r="L661" s="14" t="s">
        <v>281</v>
      </c>
      <c r="M661" s="49" t="str">
        <f>+VLOOKUP(C661,'[1]Table 1'!$B:$B,1,0)</f>
        <v>4600022667-001-03350-100CI-00001</v>
      </c>
    </row>
    <row r="662" spans="1:13" ht="13.5" hidden="1" customHeight="1">
      <c r="A662" s="14">
        <f t="shared" si="9"/>
        <v>655</v>
      </c>
      <c r="B662" s="15" t="s">
        <v>1347</v>
      </c>
      <c r="C662" s="15" t="s">
        <v>1348</v>
      </c>
      <c r="D662" s="2" t="s">
        <v>1349</v>
      </c>
      <c r="E662" s="16">
        <v>1</v>
      </c>
      <c r="F662" s="17">
        <v>45345</v>
      </c>
      <c r="G662" s="18" t="s">
        <v>14</v>
      </c>
      <c r="H662" s="18" t="s">
        <v>36</v>
      </c>
      <c r="I662" s="19">
        <v>1</v>
      </c>
      <c r="J662" s="18" t="s">
        <v>1345</v>
      </c>
      <c r="K662" s="19" t="s">
        <v>1346</v>
      </c>
      <c r="L662" s="14" t="s">
        <v>281</v>
      </c>
      <c r="M662" s="49" t="str">
        <f>+VLOOKUP(C662,'[1]Table 1'!$B:$B,1,0)</f>
        <v>4600022667-001-03350-100CI-00004</v>
      </c>
    </row>
    <row r="663" spans="1:13" ht="13.5" hidden="1" customHeight="1">
      <c r="A663" s="14">
        <f t="shared" si="9"/>
        <v>656</v>
      </c>
      <c r="B663" s="15" t="s">
        <v>1350</v>
      </c>
      <c r="C663" s="15" t="s">
        <v>1351</v>
      </c>
      <c r="D663" s="2" t="s">
        <v>1352</v>
      </c>
      <c r="E663" s="16">
        <v>1</v>
      </c>
      <c r="F663" s="17">
        <v>45345</v>
      </c>
      <c r="G663" s="18" t="s">
        <v>14</v>
      </c>
      <c r="H663" s="18" t="s">
        <v>36</v>
      </c>
      <c r="I663" s="19">
        <v>1</v>
      </c>
      <c r="J663" s="18" t="s">
        <v>1345</v>
      </c>
      <c r="K663" s="19" t="s">
        <v>1346</v>
      </c>
      <c r="L663" s="14" t="s">
        <v>281</v>
      </c>
      <c r="M663" s="49" t="str">
        <f>+VLOOKUP(C663,'[1]Table 1'!$B:$B,1,0)</f>
        <v>4600022667-001-03350-202CI-00001</v>
      </c>
    </row>
    <row r="664" spans="1:13" ht="13.5" hidden="1" customHeight="1">
      <c r="A664" s="14">
        <f t="shared" si="9"/>
        <v>657</v>
      </c>
      <c r="B664" s="15" t="s">
        <v>1353</v>
      </c>
      <c r="C664" s="15" t="s">
        <v>1354</v>
      </c>
      <c r="D664" s="2" t="s">
        <v>1355</v>
      </c>
      <c r="E664" s="16">
        <v>2</v>
      </c>
      <c r="F664" s="17">
        <v>45345</v>
      </c>
      <c r="G664" s="18" t="s">
        <v>14</v>
      </c>
      <c r="H664" s="18" t="s">
        <v>36</v>
      </c>
      <c r="I664" s="19">
        <v>1</v>
      </c>
      <c r="J664" s="18" t="s">
        <v>1345</v>
      </c>
      <c r="K664" s="19" t="s">
        <v>1346</v>
      </c>
      <c r="L664" s="14" t="s">
        <v>281</v>
      </c>
      <c r="M664" s="49" t="str">
        <f>+VLOOKUP(C664,'[1]Table 1'!$B:$B,1,0)</f>
        <v>4600022667-001-03350-202CI-00002</v>
      </c>
    </row>
    <row r="665" spans="1:13" ht="13.5" hidden="1" customHeight="1">
      <c r="A665" s="14">
        <f t="shared" si="9"/>
        <v>658</v>
      </c>
      <c r="B665" s="15" t="s">
        <v>1356</v>
      </c>
      <c r="C665" s="15" t="s">
        <v>1357</v>
      </c>
      <c r="D665" s="2" t="s">
        <v>1358</v>
      </c>
      <c r="E665" s="16">
        <v>2</v>
      </c>
      <c r="F665" s="17">
        <v>45345</v>
      </c>
      <c r="G665" s="18" t="s">
        <v>14</v>
      </c>
      <c r="H665" s="18" t="s">
        <v>36</v>
      </c>
      <c r="I665" s="19">
        <v>1</v>
      </c>
      <c r="J665" s="18" t="s">
        <v>1345</v>
      </c>
      <c r="K665" s="19" t="s">
        <v>1346</v>
      </c>
      <c r="L665" s="14" t="s">
        <v>281</v>
      </c>
      <c r="M665" s="49" t="str">
        <f>+VLOOKUP(C665,'[1]Table 1'!$B:$B,1,0)</f>
        <v>4600022667-001-03350-202CI-00003</v>
      </c>
    </row>
    <row r="666" spans="1:13" ht="13.5" hidden="1" customHeight="1">
      <c r="A666" s="14">
        <f t="shared" si="9"/>
        <v>659</v>
      </c>
      <c r="B666" s="15" t="s">
        <v>1359</v>
      </c>
      <c r="C666" s="15" t="s">
        <v>1360</v>
      </c>
      <c r="D666" s="2" t="s">
        <v>1361</v>
      </c>
      <c r="E666" s="16">
        <v>2</v>
      </c>
      <c r="F666" s="17">
        <v>45345</v>
      </c>
      <c r="G666" s="18" t="s">
        <v>14</v>
      </c>
      <c r="H666" s="18" t="s">
        <v>36</v>
      </c>
      <c r="I666" s="19">
        <v>1</v>
      </c>
      <c r="J666" s="18" t="s">
        <v>1345</v>
      </c>
      <c r="K666" s="19" t="s">
        <v>1346</v>
      </c>
      <c r="L666" s="14" t="s">
        <v>281</v>
      </c>
      <c r="M666" s="49" t="str">
        <f>+VLOOKUP(C666,'[1]Table 1'!$B:$B,1,0)</f>
        <v>4600022667-001-03350-202CI-00004</v>
      </c>
    </row>
    <row r="667" spans="1:13" ht="13.5" hidden="1" customHeight="1">
      <c r="A667" s="14">
        <f t="shared" si="9"/>
        <v>660</v>
      </c>
      <c r="B667" s="15" t="s">
        <v>1362</v>
      </c>
      <c r="C667" s="15" t="s">
        <v>1363</v>
      </c>
      <c r="D667" s="2" t="s">
        <v>1364</v>
      </c>
      <c r="E667" s="16">
        <v>2</v>
      </c>
      <c r="F667" s="17">
        <v>45345</v>
      </c>
      <c r="G667" s="18" t="s">
        <v>14</v>
      </c>
      <c r="H667" s="18" t="s">
        <v>36</v>
      </c>
      <c r="I667" s="19">
        <v>1</v>
      </c>
      <c r="J667" s="18" t="s">
        <v>1345</v>
      </c>
      <c r="K667" s="19" t="s">
        <v>1346</v>
      </c>
      <c r="L667" s="14" t="s">
        <v>281</v>
      </c>
      <c r="M667" s="49" t="str">
        <f>+VLOOKUP(C667,'[1]Table 1'!$B:$B,1,0)</f>
        <v>4600022667-001-03350-202CI-00005</v>
      </c>
    </row>
    <row r="668" spans="1:13" ht="13.5" hidden="1" customHeight="1">
      <c r="A668" s="14">
        <f t="shared" si="9"/>
        <v>661</v>
      </c>
      <c r="B668" s="15" t="s">
        <v>1365</v>
      </c>
      <c r="C668" s="15" t="s">
        <v>1366</v>
      </c>
      <c r="D668" s="2" t="s">
        <v>1367</v>
      </c>
      <c r="E668" s="16">
        <v>2</v>
      </c>
      <c r="F668" s="17">
        <v>45345</v>
      </c>
      <c r="G668" s="18" t="s">
        <v>14</v>
      </c>
      <c r="H668" s="18" t="s">
        <v>36</v>
      </c>
      <c r="I668" s="19">
        <v>1</v>
      </c>
      <c r="J668" s="18" t="s">
        <v>1345</v>
      </c>
      <c r="K668" s="19" t="s">
        <v>1346</v>
      </c>
      <c r="L668" s="14" t="s">
        <v>281</v>
      </c>
      <c r="M668" s="49" t="str">
        <f>+VLOOKUP(C668,'[1]Table 1'!$B:$B,1,0)</f>
        <v>4600022667-001-03350-202CI-00006</v>
      </c>
    </row>
    <row r="669" spans="1:13" ht="13.5" hidden="1" customHeight="1">
      <c r="A669" s="14">
        <f t="shared" si="9"/>
        <v>662</v>
      </c>
      <c r="B669" s="15" t="s">
        <v>1368</v>
      </c>
      <c r="C669" s="15" t="s">
        <v>1369</v>
      </c>
      <c r="D669" s="2" t="s">
        <v>1370</v>
      </c>
      <c r="E669" s="16">
        <v>2</v>
      </c>
      <c r="F669" s="17">
        <v>45345</v>
      </c>
      <c r="G669" s="18" t="s">
        <v>14</v>
      </c>
      <c r="H669" s="18" t="s">
        <v>36</v>
      </c>
      <c r="I669" s="19">
        <v>1</v>
      </c>
      <c r="J669" s="18" t="s">
        <v>1345</v>
      </c>
      <c r="K669" s="19" t="s">
        <v>1346</v>
      </c>
      <c r="L669" s="14" t="s">
        <v>281</v>
      </c>
      <c r="M669" s="49" t="str">
        <f>+VLOOKUP(C669,'[1]Table 1'!$B:$B,1,0)</f>
        <v>4600022667-001-03350-202CI-00007</v>
      </c>
    </row>
    <row r="670" spans="1:13" ht="13.5" hidden="1" customHeight="1">
      <c r="A670" s="14">
        <f t="shared" si="9"/>
        <v>663</v>
      </c>
      <c r="B670" s="15" t="s">
        <v>1371</v>
      </c>
      <c r="C670" s="15" t="s">
        <v>1372</v>
      </c>
      <c r="D670" s="2" t="s">
        <v>1373</v>
      </c>
      <c r="E670" s="16">
        <v>1</v>
      </c>
      <c r="F670" s="17">
        <v>45345</v>
      </c>
      <c r="G670" s="18" t="s">
        <v>14</v>
      </c>
      <c r="H670" s="18" t="s">
        <v>36</v>
      </c>
      <c r="I670" s="19">
        <v>1</v>
      </c>
      <c r="J670" s="18" t="s">
        <v>1345</v>
      </c>
      <c r="K670" s="19" t="s">
        <v>1346</v>
      </c>
      <c r="L670" s="14" t="s">
        <v>281</v>
      </c>
      <c r="M670" s="49" t="str">
        <f>+VLOOKUP(C670,'[1]Table 1'!$B:$B,1,0)</f>
        <v>4600022667-001-03350-202CI-00009</v>
      </c>
    </row>
    <row r="671" spans="1:13" ht="13.5" hidden="1" customHeight="1">
      <c r="A671" s="14">
        <f t="shared" si="9"/>
        <v>664</v>
      </c>
      <c r="B671" s="15" t="s">
        <v>1374</v>
      </c>
      <c r="C671" s="15" t="s">
        <v>1375</v>
      </c>
      <c r="D671" s="2" t="s">
        <v>1376</v>
      </c>
      <c r="E671" s="16">
        <v>0</v>
      </c>
      <c r="F671" s="17">
        <v>45345</v>
      </c>
      <c r="G671" s="18" t="s">
        <v>14</v>
      </c>
      <c r="H671" s="18" t="s">
        <v>36</v>
      </c>
      <c r="I671" s="19">
        <v>1</v>
      </c>
      <c r="J671" s="18" t="s">
        <v>1345</v>
      </c>
      <c r="K671" s="19" t="s">
        <v>1346</v>
      </c>
      <c r="L671" s="14" t="s">
        <v>281</v>
      </c>
      <c r="M671" s="49" t="str">
        <f>+VLOOKUP(C671,'[1]Table 1'!$B:$B,1,0)</f>
        <v>4600022667-001-03350-600CI-00001</v>
      </c>
    </row>
    <row r="672" spans="1:13" ht="13.5" customHeight="1">
      <c r="A672" s="14">
        <f t="shared" si="9"/>
        <v>665</v>
      </c>
      <c r="B672" s="15" t="s">
        <v>1377</v>
      </c>
      <c r="C672" s="15" t="s">
        <v>1378</v>
      </c>
      <c r="D672" s="2" t="s">
        <v>1379</v>
      </c>
      <c r="E672" s="16" t="s">
        <v>335</v>
      </c>
      <c r="F672" s="17">
        <v>45345</v>
      </c>
      <c r="G672" s="18" t="s">
        <v>14</v>
      </c>
      <c r="H672" s="18" t="s">
        <v>36</v>
      </c>
      <c r="I672" s="19">
        <v>1</v>
      </c>
      <c r="J672" s="18" t="s">
        <v>1345</v>
      </c>
      <c r="K672" s="19" t="s">
        <v>1346</v>
      </c>
      <c r="L672" s="14" t="s">
        <v>281</v>
      </c>
      <c r="M672" s="49" t="e">
        <f>+VLOOKUP(C672,'[1]Table 1'!$B:$B,1,0)</f>
        <v>#N/A</v>
      </c>
    </row>
    <row r="673" spans="1:13" ht="13.5" hidden="1" customHeight="1">
      <c r="A673" s="14">
        <f t="shared" si="9"/>
        <v>666</v>
      </c>
      <c r="B673" s="15" t="s">
        <v>1380</v>
      </c>
      <c r="C673" s="15" t="s">
        <v>1381</v>
      </c>
      <c r="D673" s="2" t="s">
        <v>1382</v>
      </c>
      <c r="E673" s="16">
        <v>1</v>
      </c>
      <c r="F673" s="17">
        <v>45345</v>
      </c>
      <c r="G673" s="18" t="s">
        <v>14</v>
      </c>
      <c r="H673" s="18" t="s">
        <v>36</v>
      </c>
      <c r="I673" s="19">
        <v>1</v>
      </c>
      <c r="J673" s="18" t="s">
        <v>1345</v>
      </c>
      <c r="K673" s="19" t="s">
        <v>1346</v>
      </c>
      <c r="L673" s="14" t="s">
        <v>281</v>
      </c>
      <c r="M673" s="49" t="str">
        <f>+VLOOKUP(C673,'[1]Table 1'!$B:$B,1,0)</f>
        <v>4600022667-001-03350-600CI-00006</v>
      </c>
    </row>
    <row r="674" spans="1:13" ht="13.5" hidden="1" customHeight="1">
      <c r="A674" s="14">
        <f t="shared" si="9"/>
        <v>667</v>
      </c>
      <c r="B674" s="15" t="s">
        <v>1383</v>
      </c>
      <c r="C674" s="15" t="s">
        <v>1384</v>
      </c>
      <c r="D674" s="2" t="s">
        <v>1385</v>
      </c>
      <c r="E674" s="16">
        <v>1</v>
      </c>
      <c r="F674" s="17">
        <v>45345</v>
      </c>
      <c r="G674" s="18" t="s">
        <v>10</v>
      </c>
      <c r="H674" s="18" t="s">
        <v>36</v>
      </c>
      <c r="I674" s="19">
        <v>34</v>
      </c>
      <c r="J674" s="18" t="s">
        <v>1345</v>
      </c>
      <c r="K674" s="19" t="s">
        <v>1346</v>
      </c>
      <c r="L674" s="14" t="s">
        <v>281</v>
      </c>
      <c r="M674" s="49" t="str">
        <f>+VLOOKUP(C674,'[1]Table 1'!$B:$B,1,0)</f>
        <v>4600022667-001-03350-INFCI-00001</v>
      </c>
    </row>
    <row r="675" spans="1:13" ht="13.5" hidden="1" customHeight="1">
      <c r="A675" s="14">
        <f t="shared" si="9"/>
        <v>668</v>
      </c>
      <c r="B675" s="15" t="s">
        <v>1386</v>
      </c>
      <c r="C675" s="15" t="s">
        <v>1387</v>
      </c>
      <c r="D675" s="2" t="s">
        <v>1388</v>
      </c>
      <c r="E675" s="16">
        <v>1</v>
      </c>
      <c r="F675" s="17">
        <v>45345</v>
      </c>
      <c r="G675" s="18" t="s">
        <v>7</v>
      </c>
      <c r="H675" s="18" t="s">
        <v>36</v>
      </c>
      <c r="I675" s="19">
        <v>9</v>
      </c>
      <c r="J675" s="18" t="s">
        <v>1345</v>
      </c>
      <c r="K675" s="19" t="s">
        <v>1346</v>
      </c>
      <c r="L675" s="14" t="s">
        <v>281</v>
      </c>
      <c r="M675" s="49" t="str">
        <f>+VLOOKUP(C675,'[1]Table 1'!$B:$B,1,0)</f>
        <v>4600022667-001-03350-MDCCI-00001</v>
      </c>
    </row>
    <row r="676" spans="1:13" ht="13.5" hidden="1" customHeight="1">
      <c r="A676" s="14">
        <f t="shared" si="9"/>
        <v>669</v>
      </c>
      <c r="B676" s="15" t="s">
        <v>1389</v>
      </c>
      <c r="C676" s="15" t="s">
        <v>1390</v>
      </c>
      <c r="D676" s="2" t="s">
        <v>1391</v>
      </c>
      <c r="E676" s="16">
        <v>0</v>
      </c>
      <c r="F676" s="17">
        <v>45345</v>
      </c>
      <c r="G676" s="18" t="s">
        <v>600</v>
      </c>
      <c r="H676" s="18" t="s">
        <v>36</v>
      </c>
      <c r="I676" s="19">
        <v>28</v>
      </c>
      <c r="J676" s="18" t="s">
        <v>1345</v>
      </c>
      <c r="K676" s="19" t="s">
        <v>1346</v>
      </c>
      <c r="L676" s="14" t="s">
        <v>281</v>
      </c>
      <c r="M676" s="49" t="str">
        <f>+VLOOKUP(C676,'[1]Table 1'!$B:$B,1,0)</f>
        <v>4600022667-001-03350-MDCCI-00002</v>
      </c>
    </row>
    <row r="677" spans="1:13" ht="13.5" hidden="1" customHeight="1">
      <c r="A677" s="14">
        <f t="shared" si="9"/>
        <v>670</v>
      </c>
      <c r="B677" s="15" t="s">
        <v>1392</v>
      </c>
      <c r="C677" s="15" t="s">
        <v>1393</v>
      </c>
      <c r="D677" s="2" t="s">
        <v>1394</v>
      </c>
      <c r="E677" s="16">
        <v>0</v>
      </c>
      <c r="F677" s="17">
        <v>45345</v>
      </c>
      <c r="G677" s="18" t="s">
        <v>14</v>
      </c>
      <c r="H677" s="18" t="s">
        <v>36</v>
      </c>
      <c r="I677" s="19">
        <v>1</v>
      </c>
      <c r="J677" s="18" t="s">
        <v>1395</v>
      </c>
      <c r="K677" s="19" t="s">
        <v>1396</v>
      </c>
      <c r="L677" s="14" t="s">
        <v>281</v>
      </c>
      <c r="M677" s="49" t="str">
        <f>+VLOOKUP(C677,'[1]Table 1'!$B:$B,1,0)</f>
        <v>4600022667-001-03350-002EL-00005</v>
      </c>
    </row>
    <row r="678" spans="1:13" ht="13.5" hidden="1" customHeight="1">
      <c r="A678" s="14">
        <f t="shared" si="9"/>
        <v>671</v>
      </c>
      <c r="B678" s="15" t="s">
        <v>1397</v>
      </c>
      <c r="C678" s="15" t="s">
        <v>1398</v>
      </c>
      <c r="D678" s="2" t="s">
        <v>1399</v>
      </c>
      <c r="E678" s="16" t="s">
        <v>335</v>
      </c>
      <c r="F678" s="17">
        <v>45345</v>
      </c>
      <c r="G678" s="18" t="s">
        <v>14</v>
      </c>
      <c r="H678" s="18" t="s">
        <v>36</v>
      </c>
      <c r="I678" s="19">
        <v>1</v>
      </c>
      <c r="J678" s="18" t="s">
        <v>1395</v>
      </c>
      <c r="K678" s="19" t="s">
        <v>1396</v>
      </c>
      <c r="L678" s="14" t="s">
        <v>281</v>
      </c>
      <c r="M678" s="49" t="str">
        <f>+VLOOKUP(C678,'[1]Table 1'!$B:$B,1,0)</f>
        <v>4600022667-001-03350-002EL-00006</v>
      </c>
    </row>
    <row r="679" spans="1:13" ht="13.5" hidden="1" customHeight="1">
      <c r="A679" s="14">
        <f t="shared" si="9"/>
        <v>672</v>
      </c>
      <c r="B679" s="15" t="s">
        <v>1400</v>
      </c>
      <c r="C679" s="15" t="s">
        <v>1401</v>
      </c>
      <c r="D679" s="2" t="s">
        <v>1402</v>
      </c>
      <c r="E679" s="16" t="s">
        <v>335</v>
      </c>
      <c r="F679" s="17">
        <v>45345</v>
      </c>
      <c r="G679" s="18" t="s">
        <v>14</v>
      </c>
      <c r="H679" s="18" t="s">
        <v>36</v>
      </c>
      <c r="I679" s="19">
        <v>1</v>
      </c>
      <c r="J679" s="18" t="s">
        <v>1395</v>
      </c>
      <c r="K679" s="19" t="s">
        <v>1396</v>
      </c>
      <c r="L679" s="14" t="s">
        <v>281</v>
      </c>
      <c r="M679" s="49" t="str">
        <f>+VLOOKUP(C679,'[1]Table 1'!$B:$B,1,0)</f>
        <v>4600022667-001-03350-002EL-00007</v>
      </c>
    </row>
    <row r="680" spans="1:13" ht="13.5" hidden="1" customHeight="1">
      <c r="A680" s="14">
        <f t="shared" si="9"/>
        <v>673</v>
      </c>
      <c r="B680" s="15" t="s">
        <v>1403</v>
      </c>
      <c r="C680" s="15" t="s">
        <v>1404</v>
      </c>
      <c r="D680" s="2" t="s">
        <v>1405</v>
      </c>
      <c r="E680" s="16" t="s">
        <v>335</v>
      </c>
      <c r="F680" s="17">
        <v>45345</v>
      </c>
      <c r="G680" s="18" t="s">
        <v>14</v>
      </c>
      <c r="H680" s="18" t="s">
        <v>36</v>
      </c>
      <c r="I680" s="19">
        <v>1</v>
      </c>
      <c r="J680" s="18" t="s">
        <v>1395</v>
      </c>
      <c r="K680" s="19" t="s">
        <v>1396</v>
      </c>
      <c r="L680" s="14" t="s">
        <v>281</v>
      </c>
      <c r="M680" s="49" t="str">
        <f>+VLOOKUP(C680,'[1]Table 1'!$B:$B,1,0)</f>
        <v>4600022667-001-03350-100EL-00005</v>
      </c>
    </row>
    <row r="681" spans="1:13" ht="13.5" hidden="1" customHeight="1">
      <c r="A681" s="14">
        <f t="shared" si="9"/>
        <v>674</v>
      </c>
      <c r="B681" s="15" t="s">
        <v>1406</v>
      </c>
      <c r="C681" s="15" t="s">
        <v>1407</v>
      </c>
      <c r="D681" s="2" t="s">
        <v>1408</v>
      </c>
      <c r="E681" s="16" t="s">
        <v>335</v>
      </c>
      <c r="F681" s="17">
        <v>45345</v>
      </c>
      <c r="G681" s="18" t="s">
        <v>14</v>
      </c>
      <c r="H681" s="18" t="s">
        <v>36</v>
      </c>
      <c r="I681" s="19">
        <v>1</v>
      </c>
      <c r="J681" s="18" t="s">
        <v>1395</v>
      </c>
      <c r="K681" s="19" t="s">
        <v>1396</v>
      </c>
      <c r="L681" s="14" t="s">
        <v>281</v>
      </c>
      <c r="M681" s="49" t="str">
        <f>+VLOOKUP(C681,'[1]Table 1'!$B:$B,1,0)</f>
        <v>4600022667-001-03350-100EL-00006</v>
      </c>
    </row>
    <row r="682" spans="1:13" ht="13.5" hidden="1" customHeight="1">
      <c r="A682" s="14">
        <f t="shared" si="9"/>
        <v>675</v>
      </c>
      <c r="B682" s="15" t="s">
        <v>1409</v>
      </c>
      <c r="C682" s="15" t="s">
        <v>1410</v>
      </c>
      <c r="D682" s="2" t="s">
        <v>1411</v>
      </c>
      <c r="E682" s="16" t="s">
        <v>335</v>
      </c>
      <c r="F682" s="17">
        <v>45345</v>
      </c>
      <c r="G682" s="18" t="s">
        <v>14</v>
      </c>
      <c r="H682" s="18" t="s">
        <v>36</v>
      </c>
      <c r="I682" s="19">
        <v>1</v>
      </c>
      <c r="J682" s="18" t="s">
        <v>1395</v>
      </c>
      <c r="K682" s="19" t="s">
        <v>1396</v>
      </c>
      <c r="L682" s="14" t="s">
        <v>281</v>
      </c>
      <c r="M682" s="49" t="str">
        <f>+VLOOKUP(C682,'[1]Table 1'!$B:$B,1,0)</f>
        <v>4600022667-001-03350-100EL-00007</v>
      </c>
    </row>
    <row r="683" spans="1:13" ht="13.5" hidden="1" customHeight="1">
      <c r="A683" s="14">
        <f t="shared" si="9"/>
        <v>676</v>
      </c>
      <c r="B683" s="15" t="s">
        <v>1412</v>
      </c>
      <c r="C683" s="15" t="s">
        <v>1413</v>
      </c>
      <c r="D683" s="2" t="s">
        <v>1414</v>
      </c>
      <c r="E683" s="16">
        <v>0</v>
      </c>
      <c r="F683" s="17">
        <v>45345</v>
      </c>
      <c r="G683" s="18" t="s">
        <v>14</v>
      </c>
      <c r="H683" s="18" t="s">
        <v>36</v>
      </c>
      <c r="I683" s="19">
        <v>1</v>
      </c>
      <c r="J683" s="18" t="s">
        <v>1395</v>
      </c>
      <c r="K683" s="19" t="s">
        <v>1396</v>
      </c>
      <c r="L683" s="14" t="s">
        <v>281</v>
      </c>
      <c r="M683" s="49" t="str">
        <f>+VLOOKUP(C683,'[1]Table 1'!$B:$B,1,0)</f>
        <v>4600022667-001-03350-110EL-00001</v>
      </c>
    </row>
    <row r="684" spans="1:13" ht="13.5" hidden="1" customHeight="1">
      <c r="A684" s="14">
        <f t="shared" si="9"/>
        <v>677</v>
      </c>
      <c r="B684" s="15" t="s">
        <v>1415</v>
      </c>
      <c r="C684" s="15" t="s">
        <v>1416</v>
      </c>
      <c r="D684" s="2" t="s">
        <v>1417</v>
      </c>
      <c r="E684" s="16">
        <v>2</v>
      </c>
      <c r="F684" s="17">
        <v>45345</v>
      </c>
      <c r="G684" s="18" t="s">
        <v>14</v>
      </c>
      <c r="H684" s="18" t="s">
        <v>36</v>
      </c>
      <c r="I684" s="19">
        <v>1</v>
      </c>
      <c r="J684" s="18" t="s">
        <v>1395</v>
      </c>
      <c r="K684" s="19" t="s">
        <v>1396</v>
      </c>
      <c r="L684" s="14" t="s">
        <v>281</v>
      </c>
      <c r="M684" s="49" t="str">
        <f>+VLOOKUP(C684,'[1]Table 1'!$B:$B,1,0)</f>
        <v>4600022667-001-03350-202EL-00001</v>
      </c>
    </row>
    <row r="685" spans="1:13" ht="13.5" hidden="1" customHeight="1">
      <c r="A685" s="14">
        <f t="shared" si="9"/>
        <v>678</v>
      </c>
      <c r="B685" s="15" t="s">
        <v>1418</v>
      </c>
      <c r="C685" s="15" t="s">
        <v>1419</v>
      </c>
      <c r="D685" s="2" t="s">
        <v>1420</v>
      </c>
      <c r="E685" s="16">
        <v>0</v>
      </c>
      <c r="F685" s="17">
        <v>45345</v>
      </c>
      <c r="G685" s="18" t="s">
        <v>14</v>
      </c>
      <c r="H685" s="18" t="s">
        <v>36</v>
      </c>
      <c r="I685" s="19">
        <v>1</v>
      </c>
      <c r="J685" s="18" t="s">
        <v>1395</v>
      </c>
      <c r="K685" s="19" t="s">
        <v>1396</v>
      </c>
      <c r="L685" s="14" t="s">
        <v>281</v>
      </c>
      <c r="M685" s="49" t="str">
        <f>+VLOOKUP(C685,'[1]Table 1'!$B:$B,1,0)</f>
        <v>4600022667-001-03350-202EL-00005</v>
      </c>
    </row>
    <row r="686" spans="1:13" ht="13.5" hidden="1" customHeight="1">
      <c r="A686" s="14">
        <f t="shared" si="9"/>
        <v>679</v>
      </c>
      <c r="B686" s="15" t="s">
        <v>1421</v>
      </c>
      <c r="C686" s="15" t="s">
        <v>1422</v>
      </c>
      <c r="D686" s="2" t="s">
        <v>1420</v>
      </c>
      <c r="E686" s="16">
        <v>0</v>
      </c>
      <c r="F686" s="17">
        <v>45345</v>
      </c>
      <c r="G686" s="18" t="s">
        <v>14</v>
      </c>
      <c r="H686" s="18" t="s">
        <v>36</v>
      </c>
      <c r="I686" s="19">
        <v>1</v>
      </c>
      <c r="J686" s="18" t="s">
        <v>1395</v>
      </c>
      <c r="K686" s="19" t="s">
        <v>1396</v>
      </c>
      <c r="L686" s="14" t="s">
        <v>281</v>
      </c>
      <c r="M686" s="49" t="str">
        <f>+VLOOKUP(C686,'[1]Table 1'!$B:$B,1,0)</f>
        <v>4600022667-001-03350-202EL-00006</v>
      </c>
    </row>
    <row r="687" spans="1:13" ht="13.5" hidden="1" customHeight="1">
      <c r="A687" s="14">
        <f t="shared" si="9"/>
        <v>680</v>
      </c>
      <c r="B687" s="15" t="s">
        <v>1423</v>
      </c>
      <c r="C687" s="15" t="s">
        <v>1424</v>
      </c>
      <c r="D687" s="2" t="s">
        <v>1425</v>
      </c>
      <c r="E687" s="16" t="s">
        <v>335</v>
      </c>
      <c r="F687" s="17">
        <v>45345</v>
      </c>
      <c r="G687" s="18" t="s">
        <v>14</v>
      </c>
      <c r="H687" s="18" t="s">
        <v>36</v>
      </c>
      <c r="I687" s="19">
        <v>1</v>
      </c>
      <c r="J687" s="18" t="s">
        <v>1395</v>
      </c>
      <c r="K687" s="19" t="s">
        <v>1396</v>
      </c>
      <c r="L687" s="14" t="s">
        <v>281</v>
      </c>
      <c r="M687" s="49" t="str">
        <f>+VLOOKUP(C687,'[1]Table 1'!$B:$B,1,0)</f>
        <v>4600022667-001-03350-205EL-00001</v>
      </c>
    </row>
    <row r="688" spans="1:13" ht="13.5" hidden="1" customHeight="1">
      <c r="A688" s="14">
        <f t="shared" si="9"/>
        <v>681</v>
      </c>
      <c r="B688" s="15" t="s">
        <v>1426</v>
      </c>
      <c r="C688" s="15" t="s">
        <v>1427</v>
      </c>
      <c r="D688" s="2" t="s">
        <v>1428</v>
      </c>
      <c r="E688" s="16" t="s">
        <v>335</v>
      </c>
      <c r="F688" s="17">
        <v>45345</v>
      </c>
      <c r="G688" s="18" t="s">
        <v>14</v>
      </c>
      <c r="H688" s="18" t="s">
        <v>36</v>
      </c>
      <c r="I688" s="19">
        <v>1</v>
      </c>
      <c r="J688" s="18" t="s">
        <v>1395</v>
      </c>
      <c r="K688" s="19" t="s">
        <v>1396</v>
      </c>
      <c r="L688" s="14" t="s">
        <v>281</v>
      </c>
      <c r="M688" s="49" t="str">
        <f>+VLOOKUP(C688,'[1]Table 1'!$B:$B,1,0)</f>
        <v>4600022667-001-03350-205EL-00002</v>
      </c>
    </row>
    <row r="689" spans="1:13" ht="13.5" hidden="1" customHeight="1">
      <c r="A689" s="14">
        <f t="shared" si="9"/>
        <v>682</v>
      </c>
      <c r="B689" s="15" t="s">
        <v>1429</v>
      </c>
      <c r="C689" s="15" t="s">
        <v>1430</v>
      </c>
      <c r="D689" s="2" t="s">
        <v>1431</v>
      </c>
      <c r="E689" s="16" t="s">
        <v>335</v>
      </c>
      <c r="F689" s="17">
        <v>45345</v>
      </c>
      <c r="G689" s="18" t="s">
        <v>14</v>
      </c>
      <c r="H689" s="18" t="s">
        <v>36</v>
      </c>
      <c r="I689" s="19">
        <v>1</v>
      </c>
      <c r="J689" s="18" t="s">
        <v>1395</v>
      </c>
      <c r="K689" s="19" t="s">
        <v>1396</v>
      </c>
      <c r="L689" s="14" t="s">
        <v>281</v>
      </c>
      <c r="M689" s="49" t="str">
        <f>+VLOOKUP(C689,'[1]Table 1'!$B:$B,1,0)</f>
        <v>4600022667-001-03350-205EL-00003</v>
      </c>
    </row>
    <row r="690" spans="1:13" ht="13.5" hidden="1" customHeight="1">
      <c r="A690" s="14">
        <f t="shared" si="9"/>
        <v>683</v>
      </c>
      <c r="B690" s="15" t="s">
        <v>1432</v>
      </c>
      <c r="C690" s="15" t="s">
        <v>1433</v>
      </c>
      <c r="D690" s="2" t="s">
        <v>1434</v>
      </c>
      <c r="E690" s="16" t="s">
        <v>335</v>
      </c>
      <c r="F690" s="17">
        <v>45345</v>
      </c>
      <c r="G690" s="18" t="s">
        <v>14</v>
      </c>
      <c r="H690" s="18" t="s">
        <v>36</v>
      </c>
      <c r="I690" s="19">
        <v>1</v>
      </c>
      <c r="J690" s="18" t="s">
        <v>1395</v>
      </c>
      <c r="K690" s="19" t="s">
        <v>1396</v>
      </c>
      <c r="L690" s="14" t="s">
        <v>281</v>
      </c>
      <c r="M690" s="49" t="str">
        <f>+VLOOKUP(C690,'[1]Table 1'!$B:$B,1,0)</f>
        <v>4600022667-001-03350-205EL-00004</v>
      </c>
    </row>
    <row r="691" spans="1:13" ht="13.5" customHeight="1">
      <c r="A691" s="14">
        <f t="shared" si="9"/>
        <v>684</v>
      </c>
      <c r="B691" s="15" t="s">
        <v>1435</v>
      </c>
      <c r="C691" s="15" t="s">
        <v>1436</v>
      </c>
      <c r="D691" s="2" t="s">
        <v>1437</v>
      </c>
      <c r="E691" s="16" t="s">
        <v>335</v>
      </c>
      <c r="F691" s="17">
        <v>45345</v>
      </c>
      <c r="G691" s="18" t="s">
        <v>14</v>
      </c>
      <c r="H691" s="18" t="s">
        <v>36</v>
      </c>
      <c r="I691" s="19">
        <v>1</v>
      </c>
      <c r="J691" s="18" t="s">
        <v>1395</v>
      </c>
      <c r="K691" s="19" t="s">
        <v>1396</v>
      </c>
      <c r="L691" s="14" t="s">
        <v>281</v>
      </c>
      <c r="M691" s="49" t="e">
        <f>+VLOOKUP(C691,'[1]Table 1'!$B:$B,1,0)</f>
        <v>#N/A</v>
      </c>
    </row>
    <row r="692" spans="1:13" ht="13.5" customHeight="1">
      <c r="A692" s="14">
        <f t="shared" si="9"/>
        <v>685</v>
      </c>
      <c r="B692" s="15" t="s">
        <v>1438</v>
      </c>
      <c r="C692" s="15" t="s">
        <v>1439</v>
      </c>
      <c r="D692" s="2" t="s">
        <v>1440</v>
      </c>
      <c r="E692" s="16">
        <v>0</v>
      </c>
      <c r="F692" s="17">
        <v>45345</v>
      </c>
      <c r="G692" s="18" t="s">
        <v>14</v>
      </c>
      <c r="H692" s="18" t="s">
        <v>36</v>
      </c>
      <c r="I692" s="19">
        <v>1</v>
      </c>
      <c r="J692" s="18" t="s">
        <v>1395</v>
      </c>
      <c r="K692" s="19" t="s">
        <v>1396</v>
      </c>
      <c r="L692" s="14" t="s">
        <v>281</v>
      </c>
      <c r="M692" s="49" t="e">
        <f>+VLOOKUP(C692,'[1]Table 1'!$B:$B,1,0)</f>
        <v>#N/A</v>
      </c>
    </row>
    <row r="693" spans="1:13" ht="13.5" customHeight="1">
      <c r="A693" s="14">
        <f t="shared" si="9"/>
        <v>686</v>
      </c>
      <c r="B693" s="15" t="s">
        <v>1441</v>
      </c>
      <c r="C693" s="15" t="s">
        <v>1442</v>
      </c>
      <c r="D693" s="2" t="s">
        <v>1443</v>
      </c>
      <c r="E693" s="16">
        <v>0</v>
      </c>
      <c r="F693" s="17">
        <v>45345</v>
      </c>
      <c r="G693" s="18" t="s">
        <v>14</v>
      </c>
      <c r="H693" s="18" t="s">
        <v>36</v>
      </c>
      <c r="I693" s="19">
        <v>1</v>
      </c>
      <c r="J693" s="18" t="s">
        <v>1395</v>
      </c>
      <c r="K693" s="19" t="s">
        <v>1396</v>
      </c>
      <c r="L693" s="14" t="s">
        <v>281</v>
      </c>
      <c r="M693" s="49" t="e">
        <f>+VLOOKUP(C693,'[1]Table 1'!$B:$B,1,0)</f>
        <v>#N/A</v>
      </c>
    </row>
    <row r="694" spans="1:13" ht="13.5" customHeight="1">
      <c r="A694" s="14">
        <f t="shared" si="9"/>
        <v>687</v>
      </c>
      <c r="B694" s="15" t="s">
        <v>1444</v>
      </c>
      <c r="C694" s="15" t="s">
        <v>1445</v>
      </c>
      <c r="D694" s="2" t="s">
        <v>1446</v>
      </c>
      <c r="E694" s="16">
        <v>0</v>
      </c>
      <c r="F694" s="17">
        <v>45345</v>
      </c>
      <c r="G694" s="18" t="s">
        <v>14</v>
      </c>
      <c r="H694" s="18" t="s">
        <v>36</v>
      </c>
      <c r="I694" s="19">
        <v>1</v>
      </c>
      <c r="J694" s="18" t="s">
        <v>1395</v>
      </c>
      <c r="K694" s="19" t="s">
        <v>1396</v>
      </c>
      <c r="L694" s="14" t="s">
        <v>281</v>
      </c>
      <c r="M694" s="49" t="e">
        <f>+VLOOKUP(C694,'[1]Table 1'!$B:$B,1,0)</f>
        <v>#N/A</v>
      </c>
    </row>
    <row r="695" spans="1:13" ht="13.5" hidden="1" customHeight="1">
      <c r="A695" s="14">
        <f t="shared" si="9"/>
        <v>688</v>
      </c>
      <c r="B695" s="15" t="s">
        <v>1447</v>
      </c>
      <c r="C695" s="15" t="s">
        <v>1448</v>
      </c>
      <c r="D695" s="2" t="s">
        <v>1449</v>
      </c>
      <c r="E695" s="16">
        <v>0</v>
      </c>
      <c r="F695" s="17">
        <v>45345</v>
      </c>
      <c r="G695" s="18" t="s">
        <v>14</v>
      </c>
      <c r="H695" s="18" t="s">
        <v>36</v>
      </c>
      <c r="I695" s="19">
        <v>1</v>
      </c>
      <c r="J695" s="18" t="s">
        <v>1395</v>
      </c>
      <c r="K695" s="19" t="s">
        <v>1396</v>
      </c>
      <c r="L695" s="14" t="s">
        <v>281</v>
      </c>
      <c r="M695" s="49" t="str">
        <f>+VLOOKUP(C695,'[1]Table 1'!$B:$B,1,0)</f>
        <v>4600022667-001-03350-208EL-00013</v>
      </c>
    </row>
    <row r="696" spans="1:13" ht="13.5" hidden="1" customHeight="1">
      <c r="A696" s="14">
        <f t="shared" si="9"/>
        <v>689</v>
      </c>
      <c r="B696" s="15" t="s">
        <v>1450</v>
      </c>
      <c r="C696" s="15" t="s">
        <v>1451</v>
      </c>
      <c r="D696" s="2" t="s">
        <v>1452</v>
      </c>
      <c r="E696" s="16">
        <v>1</v>
      </c>
      <c r="F696" s="17">
        <v>45345</v>
      </c>
      <c r="G696" s="18" t="s">
        <v>14</v>
      </c>
      <c r="H696" s="18" t="s">
        <v>36</v>
      </c>
      <c r="I696" s="19">
        <v>1</v>
      </c>
      <c r="J696" s="18" t="s">
        <v>1395</v>
      </c>
      <c r="K696" s="19" t="s">
        <v>1396</v>
      </c>
      <c r="L696" s="14" t="s">
        <v>281</v>
      </c>
      <c r="M696" s="49" t="str">
        <f>+VLOOKUP(C696,'[1]Table 1'!$B:$B,1,0)</f>
        <v>4600022667-001-03350-208EL-00016</v>
      </c>
    </row>
    <row r="697" spans="1:13" ht="13.5" hidden="1" customHeight="1">
      <c r="A697" s="14">
        <f t="shared" si="9"/>
        <v>690</v>
      </c>
      <c r="B697" s="15" t="s">
        <v>1453</v>
      </c>
      <c r="C697" s="15" t="s">
        <v>1454</v>
      </c>
      <c r="D697" s="2" t="s">
        <v>1455</v>
      </c>
      <c r="E697" s="16">
        <v>1</v>
      </c>
      <c r="F697" s="17">
        <v>45345</v>
      </c>
      <c r="G697" s="18" t="s">
        <v>14</v>
      </c>
      <c r="H697" s="18" t="s">
        <v>36</v>
      </c>
      <c r="I697" s="19">
        <v>1</v>
      </c>
      <c r="J697" s="18" t="s">
        <v>1395</v>
      </c>
      <c r="K697" s="19" t="s">
        <v>1396</v>
      </c>
      <c r="L697" s="14" t="s">
        <v>281</v>
      </c>
      <c r="M697" s="49" t="str">
        <f>+VLOOKUP(C697,'[1]Table 1'!$B:$B,1,0)</f>
        <v>4600022667-001-03350-208EL-00017</v>
      </c>
    </row>
    <row r="698" spans="1:13" ht="13.5" hidden="1" customHeight="1">
      <c r="A698" s="14">
        <f t="shared" si="9"/>
        <v>691</v>
      </c>
      <c r="B698" s="15" t="s">
        <v>1456</v>
      </c>
      <c r="C698" s="15" t="s">
        <v>1457</v>
      </c>
      <c r="D698" s="2" t="s">
        <v>1458</v>
      </c>
      <c r="E698" s="16">
        <v>1</v>
      </c>
      <c r="F698" s="17">
        <v>45345</v>
      </c>
      <c r="G698" s="18" t="s">
        <v>14</v>
      </c>
      <c r="H698" s="18" t="s">
        <v>36</v>
      </c>
      <c r="I698" s="19">
        <v>1</v>
      </c>
      <c r="J698" s="18" t="s">
        <v>1395</v>
      </c>
      <c r="K698" s="19" t="s">
        <v>1396</v>
      </c>
      <c r="L698" s="14" t="s">
        <v>281</v>
      </c>
      <c r="M698" s="49" t="str">
        <f>+VLOOKUP(C698,'[1]Table 1'!$B:$B,1,0)</f>
        <v>4600022667-001-03350-208EL-00018</v>
      </c>
    </row>
    <row r="699" spans="1:13" ht="13.5" hidden="1" customHeight="1">
      <c r="A699" s="14">
        <f t="shared" si="9"/>
        <v>692</v>
      </c>
      <c r="B699" s="15" t="s">
        <v>1459</v>
      </c>
      <c r="C699" s="15" t="s">
        <v>1460</v>
      </c>
      <c r="D699" s="2" t="s">
        <v>1461</v>
      </c>
      <c r="E699" s="16">
        <v>1</v>
      </c>
      <c r="F699" s="17">
        <v>45345</v>
      </c>
      <c r="G699" s="18" t="s">
        <v>14</v>
      </c>
      <c r="H699" s="18" t="s">
        <v>36</v>
      </c>
      <c r="I699" s="19">
        <v>1</v>
      </c>
      <c r="J699" s="18" t="s">
        <v>1395</v>
      </c>
      <c r="K699" s="19" t="s">
        <v>1396</v>
      </c>
      <c r="L699" s="14" t="s">
        <v>281</v>
      </c>
      <c r="M699" s="49" t="str">
        <f>+VLOOKUP(C699,'[1]Table 1'!$B:$B,1,0)</f>
        <v>4600022667-001-03350-208EL-00019</v>
      </c>
    </row>
    <row r="700" spans="1:13" ht="13.5" hidden="1" customHeight="1">
      <c r="A700" s="14">
        <f t="shared" si="9"/>
        <v>693</v>
      </c>
      <c r="B700" s="15" t="s">
        <v>1462</v>
      </c>
      <c r="C700" s="15" t="s">
        <v>1463</v>
      </c>
      <c r="D700" s="2" t="s">
        <v>1464</v>
      </c>
      <c r="E700" s="16">
        <v>1</v>
      </c>
      <c r="F700" s="17">
        <v>45345</v>
      </c>
      <c r="G700" s="18" t="s">
        <v>14</v>
      </c>
      <c r="H700" s="18" t="s">
        <v>36</v>
      </c>
      <c r="I700" s="19">
        <v>1</v>
      </c>
      <c r="J700" s="18" t="s">
        <v>1395</v>
      </c>
      <c r="K700" s="19" t="s">
        <v>1396</v>
      </c>
      <c r="L700" s="14" t="s">
        <v>281</v>
      </c>
      <c r="M700" s="49" t="str">
        <f>+VLOOKUP(C700,'[1]Table 1'!$B:$B,1,0)</f>
        <v>4600022667-001-03350-208EL-00020</v>
      </c>
    </row>
    <row r="701" spans="1:13" ht="13.5" customHeight="1">
      <c r="A701" s="14">
        <f t="shared" si="9"/>
        <v>694</v>
      </c>
      <c r="B701" s="15" t="s">
        <v>1465</v>
      </c>
      <c r="C701" s="15" t="s">
        <v>1466</v>
      </c>
      <c r="D701" s="2" t="s">
        <v>1467</v>
      </c>
      <c r="E701" s="16">
        <v>1</v>
      </c>
      <c r="F701" s="17">
        <v>45345</v>
      </c>
      <c r="G701" s="18" t="s">
        <v>14</v>
      </c>
      <c r="H701" s="18" t="s">
        <v>36</v>
      </c>
      <c r="I701" s="19">
        <v>1</v>
      </c>
      <c r="J701" s="18" t="s">
        <v>1395</v>
      </c>
      <c r="K701" s="19" t="s">
        <v>1396</v>
      </c>
      <c r="L701" s="14" t="s">
        <v>281</v>
      </c>
      <c r="M701" s="49" t="e">
        <f>+VLOOKUP(C701,'[1]Table 1'!$B:$B,1,0)</f>
        <v>#N/A</v>
      </c>
    </row>
    <row r="702" spans="1:13" ht="13.5" hidden="1" customHeight="1">
      <c r="A702" s="14">
        <f t="shared" si="9"/>
        <v>695</v>
      </c>
      <c r="B702" s="15" t="s">
        <v>1468</v>
      </c>
      <c r="C702" s="15" t="s">
        <v>1469</v>
      </c>
      <c r="D702" s="2" t="s">
        <v>1470</v>
      </c>
      <c r="E702" s="16">
        <v>1</v>
      </c>
      <c r="F702" s="17">
        <v>45345</v>
      </c>
      <c r="G702" s="18" t="s">
        <v>14</v>
      </c>
      <c r="H702" s="18" t="s">
        <v>36</v>
      </c>
      <c r="I702" s="19">
        <v>1</v>
      </c>
      <c r="J702" s="18" t="s">
        <v>1395</v>
      </c>
      <c r="K702" s="19" t="s">
        <v>1396</v>
      </c>
      <c r="L702" s="14" t="s">
        <v>281</v>
      </c>
      <c r="M702" s="49" t="str">
        <f>+VLOOKUP(C702,'[1]Table 1'!$B:$B,1,0)</f>
        <v>4600022667-001-03350-210EL-00002</v>
      </c>
    </row>
    <row r="703" spans="1:13" ht="13.5" hidden="1" customHeight="1">
      <c r="A703" s="14">
        <f t="shared" ref="A703:A766" si="10">ROW()-7</f>
        <v>696</v>
      </c>
      <c r="B703" s="15" t="s">
        <v>1471</v>
      </c>
      <c r="C703" s="15" t="s">
        <v>1472</v>
      </c>
      <c r="D703" s="2" t="s">
        <v>1473</v>
      </c>
      <c r="E703" s="16">
        <v>1</v>
      </c>
      <c r="F703" s="17">
        <v>45345</v>
      </c>
      <c r="G703" s="18" t="s">
        <v>14</v>
      </c>
      <c r="H703" s="18" t="s">
        <v>36</v>
      </c>
      <c r="I703" s="19">
        <v>1</v>
      </c>
      <c r="J703" s="18" t="s">
        <v>1395</v>
      </c>
      <c r="K703" s="19" t="s">
        <v>1396</v>
      </c>
      <c r="L703" s="14" t="s">
        <v>281</v>
      </c>
      <c r="M703" s="49" t="str">
        <f>+VLOOKUP(C703,'[1]Table 1'!$B:$B,1,0)</f>
        <v>4600022667-001-03350-210EL-00003</v>
      </c>
    </row>
    <row r="704" spans="1:13" ht="13.5" hidden="1" customHeight="1">
      <c r="A704" s="14">
        <f t="shared" si="10"/>
        <v>697</v>
      </c>
      <c r="B704" s="15" t="s">
        <v>1474</v>
      </c>
      <c r="C704" s="15" t="s">
        <v>1475</v>
      </c>
      <c r="D704" s="2" t="s">
        <v>1476</v>
      </c>
      <c r="E704" s="16">
        <v>1</v>
      </c>
      <c r="F704" s="17">
        <v>45345</v>
      </c>
      <c r="G704" s="18" t="s">
        <v>14</v>
      </c>
      <c r="H704" s="18" t="s">
        <v>36</v>
      </c>
      <c r="I704" s="19">
        <v>1</v>
      </c>
      <c r="J704" s="18" t="s">
        <v>1395</v>
      </c>
      <c r="K704" s="19" t="s">
        <v>1396</v>
      </c>
      <c r="L704" s="14" t="s">
        <v>281</v>
      </c>
      <c r="M704" s="49" t="str">
        <f>+VLOOKUP(C704,'[1]Table 1'!$B:$B,1,0)</f>
        <v>4600022667-001-03350-210EL-00004</v>
      </c>
    </row>
    <row r="705" spans="1:13" ht="13.5" hidden="1" customHeight="1">
      <c r="A705" s="14">
        <f t="shared" si="10"/>
        <v>698</v>
      </c>
      <c r="B705" s="15" t="s">
        <v>1477</v>
      </c>
      <c r="C705" s="15" t="s">
        <v>1478</v>
      </c>
      <c r="D705" s="2" t="s">
        <v>1479</v>
      </c>
      <c r="E705" s="16">
        <v>1</v>
      </c>
      <c r="F705" s="17">
        <v>45345</v>
      </c>
      <c r="G705" s="18" t="s">
        <v>14</v>
      </c>
      <c r="H705" s="18" t="s">
        <v>36</v>
      </c>
      <c r="I705" s="19">
        <v>1</v>
      </c>
      <c r="J705" s="18" t="s">
        <v>1395</v>
      </c>
      <c r="K705" s="19" t="s">
        <v>1396</v>
      </c>
      <c r="L705" s="14" t="s">
        <v>281</v>
      </c>
      <c r="M705" s="49" t="str">
        <f>+VLOOKUP(C705,'[1]Table 1'!$B:$B,1,0)</f>
        <v>4600022667-001-03350-210EL-00005</v>
      </c>
    </row>
    <row r="706" spans="1:13" ht="13.5" hidden="1" customHeight="1">
      <c r="A706" s="14">
        <f t="shared" si="10"/>
        <v>699</v>
      </c>
      <c r="B706" s="15" t="s">
        <v>1480</v>
      </c>
      <c r="C706" s="15" t="s">
        <v>1481</v>
      </c>
      <c r="D706" s="2" t="s">
        <v>1482</v>
      </c>
      <c r="E706" s="16">
        <v>1</v>
      </c>
      <c r="F706" s="17">
        <v>45345</v>
      </c>
      <c r="G706" s="18" t="s">
        <v>14</v>
      </c>
      <c r="H706" s="18" t="s">
        <v>36</v>
      </c>
      <c r="I706" s="19">
        <v>1</v>
      </c>
      <c r="J706" s="18" t="s">
        <v>1395</v>
      </c>
      <c r="K706" s="19" t="s">
        <v>1396</v>
      </c>
      <c r="L706" s="14" t="s">
        <v>281</v>
      </c>
      <c r="M706" s="49" t="str">
        <f>+VLOOKUP(C706,'[1]Table 1'!$B:$B,1,0)</f>
        <v>4600022667-001-03350-210EL-00006</v>
      </c>
    </row>
    <row r="707" spans="1:13" ht="13.5" hidden="1" customHeight="1">
      <c r="A707" s="14">
        <f t="shared" si="10"/>
        <v>700</v>
      </c>
      <c r="B707" s="15" t="s">
        <v>1483</v>
      </c>
      <c r="C707" s="15" t="s">
        <v>1484</v>
      </c>
      <c r="D707" s="2" t="s">
        <v>1485</v>
      </c>
      <c r="E707" s="16">
        <v>1</v>
      </c>
      <c r="F707" s="17">
        <v>45345</v>
      </c>
      <c r="G707" s="18" t="s">
        <v>14</v>
      </c>
      <c r="H707" s="18" t="s">
        <v>36</v>
      </c>
      <c r="I707" s="19">
        <v>1</v>
      </c>
      <c r="J707" s="18" t="s">
        <v>1395</v>
      </c>
      <c r="K707" s="19" t="s">
        <v>1396</v>
      </c>
      <c r="L707" s="14" t="s">
        <v>281</v>
      </c>
      <c r="M707" s="49" t="str">
        <f>+VLOOKUP(C707,'[1]Table 1'!$B:$B,1,0)</f>
        <v>4600022667-001-03350-210EL-00007</v>
      </c>
    </row>
    <row r="708" spans="1:13" ht="13.5" hidden="1" customHeight="1">
      <c r="A708" s="14">
        <f t="shared" si="10"/>
        <v>701</v>
      </c>
      <c r="B708" s="15" t="s">
        <v>1486</v>
      </c>
      <c r="C708" s="15" t="s">
        <v>1487</v>
      </c>
      <c r="D708" s="2" t="s">
        <v>1488</v>
      </c>
      <c r="E708" s="16" t="s">
        <v>335</v>
      </c>
      <c r="F708" s="17">
        <v>45345</v>
      </c>
      <c r="G708" s="18" t="s">
        <v>14</v>
      </c>
      <c r="H708" s="18" t="s">
        <v>36</v>
      </c>
      <c r="I708" s="19">
        <v>1</v>
      </c>
      <c r="J708" s="18" t="s">
        <v>1395</v>
      </c>
      <c r="K708" s="19" t="s">
        <v>1396</v>
      </c>
      <c r="L708" s="14" t="s">
        <v>281</v>
      </c>
      <c r="M708" s="49" t="str">
        <f>+VLOOKUP(C708,'[1]Table 1'!$B:$B,1,0)</f>
        <v>4600022667-001-03350-212EL-00001</v>
      </c>
    </row>
    <row r="709" spans="1:13" ht="13.5" hidden="1" customHeight="1">
      <c r="A709" s="14">
        <f t="shared" si="10"/>
        <v>702</v>
      </c>
      <c r="B709" s="15" t="s">
        <v>1489</v>
      </c>
      <c r="C709" s="15" t="s">
        <v>1490</v>
      </c>
      <c r="D709" s="2" t="s">
        <v>1491</v>
      </c>
      <c r="E709" s="16" t="s">
        <v>335</v>
      </c>
      <c r="F709" s="17">
        <v>45345</v>
      </c>
      <c r="G709" s="18" t="s">
        <v>14</v>
      </c>
      <c r="H709" s="18" t="s">
        <v>36</v>
      </c>
      <c r="I709" s="19">
        <v>1</v>
      </c>
      <c r="J709" s="18" t="s">
        <v>1395</v>
      </c>
      <c r="K709" s="19" t="s">
        <v>1396</v>
      </c>
      <c r="L709" s="14" t="s">
        <v>281</v>
      </c>
      <c r="M709" s="49" t="str">
        <f>+VLOOKUP(C709,'[1]Table 1'!$B:$B,1,0)</f>
        <v>4600022667-001-03350-212EL-00002</v>
      </c>
    </row>
    <row r="710" spans="1:13" ht="13.5" hidden="1" customHeight="1">
      <c r="A710" s="14">
        <f t="shared" si="10"/>
        <v>703</v>
      </c>
      <c r="B710" s="15" t="s">
        <v>1492</v>
      </c>
      <c r="C710" s="15" t="s">
        <v>1493</v>
      </c>
      <c r="D710" s="2" t="s">
        <v>1494</v>
      </c>
      <c r="E710" s="16" t="s">
        <v>335</v>
      </c>
      <c r="F710" s="17">
        <v>45345</v>
      </c>
      <c r="G710" s="18" t="s">
        <v>14</v>
      </c>
      <c r="H710" s="18" t="s">
        <v>36</v>
      </c>
      <c r="I710" s="19">
        <v>1</v>
      </c>
      <c r="J710" s="18" t="s">
        <v>1395</v>
      </c>
      <c r="K710" s="19" t="s">
        <v>1396</v>
      </c>
      <c r="L710" s="14" t="s">
        <v>281</v>
      </c>
      <c r="M710" s="49" t="str">
        <f>+VLOOKUP(C710,'[1]Table 1'!$B:$B,1,0)</f>
        <v>4600022667-001-03350-212EL-00003</v>
      </c>
    </row>
    <row r="711" spans="1:13" ht="13.5" hidden="1" customHeight="1">
      <c r="A711" s="14">
        <f t="shared" si="10"/>
        <v>704</v>
      </c>
      <c r="B711" s="15" t="s">
        <v>1495</v>
      </c>
      <c r="C711" s="15" t="s">
        <v>1496</v>
      </c>
      <c r="D711" s="2" t="s">
        <v>1497</v>
      </c>
      <c r="E711" s="16">
        <v>0</v>
      </c>
      <c r="F711" s="17">
        <v>45345</v>
      </c>
      <c r="G711" s="18" t="s">
        <v>14</v>
      </c>
      <c r="H711" s="18" t="s">
        <v>36</v>
      </c>
      <c r="I711" s="19">
        <v>1</v>
      </c>
      <c r="J711" s="18" t="s">
        <v>1395</v>
      </c>
      <c r="K711" s="19" t="s">
        <v>1396</v>
      </c>
      <c r="L711" s="14" t="s">
        <v>281</v>
      </c>
      <c r="M711" s="49" t="str">
        <f>+VLOOKUP(C711,'[1]Table 1'!$B:$B,1,0)</f>
        <v>4600022667-001-03350-212EL-00007</v>
      </c>
    </row>
    <row r="712" spans="1:13" ht="13.5" hidden="1" customHeight="1">
      <c r="A712" s="14">
        <f t="shared" si="10"/>
        <v>705</v>
      </c>
      <c r="B712" s="15" t="s">
        <v>1498</v>
      </c>
      <c r="C712" s="15" t="s">
        <v>1499</v>
      </c>
      <c r="D712" s="2" t="s">
        <v>1500</v>
      </c>
      <c r="E712" s="16">
        <v>0</v>
      </c>
      <c r="F712" s="17">
        <v>45345</v>
      </c>
      <c r="G712" s="18" t="s">
        <v>14</v>
      </c>
      <c r="H712" s="18" t="s">
        <v>36</v>
      </c>
      <c r="I712" s="19">
        <v>1</v>
      </c>
      <c r="J712" s="18" t="s">
        <v>1395</v>
      </c>
      <c r="K712" s="19" t="s">
        <v>1396</v>
      </c>
      <c r="L712" s="14" t="s">
        <v>281</v>
      </c>
      <c r="M712" s="49" t="str">
        <f>+VLOOKUP(C712,'[1]Table 1'!$B:$B,1,0)</f>
        <v>4600022667-001-03350-212EL-00008</v>
      </c>
    </row>
    <row r="713" spans="1:13" ht="13.5" hidden="1" customHeight="1">
      <c r="A713" s="14">
        <f t="shared" si="10"/>
        <v>706</v>
      </c>
      <c r="B713" s="15" t="s">
        <v>1501</v>
      </c>
      <c r="C713" s="15" t="s">
        <v>1502</v>
      </c>
      <c r="D713" s="2" t="s">
        <v>1503</v>
      </c>
      <c r="E713" s="16">
        <v>0</v>
      </c>
      <c r="F713" s="17">
        <v>45345</v>
      </c>
      <c r="G713" s="18" t="s">
        <v>14</v>
      </c>
      <c r="H713" s="18" t="s">
        <v>36</v>
      </c>
      <c r="I713" s="19">
        <v>1</v>
      </c>
      <c r="J713" s="18" t="s">
        <v>1395</v>
      </c>
      <c r="K713" s="19" t="s">
        <v>1396</v>
      </c>
      <c r="L713" s="14" t="s">
        <v>281</v>
      </c>
      <c r="M713" s="49" t="str">
        <f>+VLOOKUP(C713,'[1]Table 1'!$B:$B,1,0)</f>
        <v>4600022667-001-03350-212EL-00011</v>
      </c>
    </row>
    <row r="714" spans="1:13" ht="13.5" hidden="1" customHeight="1">
      <c r="A714" s="14">
        <f t="shared" si="10"/>
        <v>707</v>
      </c>
      <c r="B714" s="15" t="s">
        <v>1504</v>
      </c>
      <c r="C714" s="15" t="s">
        <v>1505</v>
      </c>
      <c r="D714" s="2" t="s">
        <v>1506</v>
      </c>
      <c r="E714" s="16">
        <v>0</v>
      </c>
      <c r="F714" s="17">
        <v>45345</v>
      </c>
      <c r="G714" s="18" t="s">
        <v>6</v>
      </c>
      <c r="H714" s="18" t="s">
        <v>36</v>
      </c>
      <c r="I714" s="19">
        <v>110</v>
      </c>
      <c r="J714" s="18" t="s">
        <v>1395</v>
      </c>
      <c r="K714" s="19" t="s">
        <v>1396</v>
      </c>
      <c r="L714" s="14" t="s">
        <v>281</v>
      </c>
      <c r="M714" s="49" t="str">
        <f>+VLOOKUP(C714,'[1]Table 1'!$B:$B,1,0)</f>
        <v>4600022667-001-03350-CRDEL-00001</v>
      </c>
    </row>
    <row r="715" spans="1:13" ht="13.5" hidden="1" customHeight="1">
      <c r="A715" s="14">
        <f t="shared" si="10"/>
        <v>708</v>
      </c>
      <c r="B715" s="15" t="s">
        <v>1507</v>
      </c>
      <c r="C715" s="15" t="s">
        <v>1508</v>
      </c>
      <c r="D715" s="2" t="s">
        <v>1509</v>
      </c>
      <c r="E715" s="16">
        <v>0</v>
      </c>
      <c r="F715" s="17">
        <v>45345</v>
      </c>
      <c r="G715" s="18" t="s">
        <v>7</v>
      </c>
      <c r="H715" s="18" t="s">
        <v>36</v>
      </c>
      <c r="I715" s="19">
        <v>11</v>
      </c>
      <c r="J715" s="18" t="s">
        <v>1395</v>
      </c>
      <c r="K715" s="19" t="s">
        <v>1396</v>
      </c>
      <c r="L715" s="14" t="s">
        <v>281</v>
      </c>
      <c r="M715" s="49" t="str">
        <f>+VLOOKUP(C715,'[1]Table 1'!$B:$B,1,0)</f>
        <v>4600022667-001-03350-CUBEL-00001</v>
      </c>
    </row>
    <row r="716" spans="1:13" ht="13.5" hidden="1" customHeight="1">
      <c r="A716" s="14">
        <f t="shared" si="10"/>
        <v>709</v>
      </c>
      <c r="B716" s="15" t="s">
        <v>1510</v>
      </c>
      <c r="C716" s="15" t="s">
        <v>1511</v>
      </c>
      <c r="D716" s="2" t="s">
        <v>1512</v>
      </c>
      <c r="E716" s="16">
        <v>0</v>
      </c>
      <c r="F716" s="17">
        <v>45345</v>
      </c>
      <c r="G716" s="18" t="s">
        <v>8</v>
      </c>
      <c r="H716" s="18" t="s">
        <v>36</v>
      </c>
      <c r="I716" s="19">
        <v>12</v>
      </c>
      <c r="J716" s="18" t="s">
        <v>1395</v>
      </c>
      <c r="K716" s="19" t="s">
        <v>1396</v>
      </c>
      <c r="L716" s="14" t="s">
        <v>281</v>
      </c>
      <c r="M716" s="49" t="str">
        <f>+VLOOKUP(C716,'[1]Table 1'!$B:$B,1,0)</f>
        <v>4600022667-001-03350-ESPEL-00002</v>
      </c>
    </row>
    <row r="717" spans="1:13" ht="13.5" hidden="1" customHeight="1">
      <c r="A717" s="14">
        <f t="shared" si="10"/>
        <v>710</v>
      </c>
      <c r="B717" s="15" t="s">
        <v>1513</v>
      </c>
      <c r="C717" s="15" t="s">
        <v>1514</v>
      </c>
      <c r="D717" s="2" t="s">
        <v>1515</v>
      </c>
      <c r="E717" s="16">
        <v>0</v>
      </c>
      <c r="F717" s="17">
        <v>45345</v>
      </c>
      <c r="G717" s="18" t="s">
        <v>8</v>
      </c>
      <c r="H717" s="18" t="s">
        <v>36</v>
      </c>
      <c r="I717" s="19">
        <v>16</v>
      </c>
      <c r="J717" s="18" t="s">
        <v>1395</v>
      </c>
      <c r="K717" s="19" t="s">
        <v>1396</v>
      </c>
      <c r="L717" s="14" t="s">
        <v>281</v>
      </c>
      <c r="M717" s="49" t="str">
        <f>+VLOOKUP(C717,'[1]Table 1'!$B:$B,1,0)</f>
        <v>4600022667-001-03350-ESPEL-00003</v>
      </c>
    </row>
    <row r="718" spans="1:13" ht="13.5" hidden="1" customHeight="1">
      <c r="A718" s="14">
        <f t="shared" si="10"/>
        <v>711</v>
      </c>
      <c r="B718" s="15" t="s">
        <v>1516</v>
      </c>
      <c r="C718" s="15" t="s">
        <v>1517</v>
      </c>
      <c r="D718" s="2" t="s">
        <v>1518</v>
      </c>
      <c r="E718" s="16">
        <v>0</v>
      </c>
      <c r="F718" s="17">
        <v>45345</v>
      </c>
      <c r="G718" s="18" t="s">
        <v>8</v>
      </c>
      <c r="H718" s="18" t="s">
        <v>36</v>
      </c>
      <c r="I718" s="19">
        <v>12</v>
      </c>
      <c r="J718" s="18" t="s">
        <v>1395</v>
      </c>
      <c r="K718" s="19" t="s">
        <v>1396</v>
      </c>
      <c r="L718" s="14" t="s">
        <v>281</v>
      </c>
      <c r="M718" s="49" t="str">
        <f>+VLOOKUP(C718,'[1]Table 1'!$B:$B,1,0)</f>
        <v>4600022667-001-03350-ESPEL-00004</v>
      </c>
    </row>
    <row r="719" spans="1:13" ht="13.5" hidden="1" customHeight="1">
      <c r="A719" s="14">
        <f t="shared" si="10"/>
        <v>712</v>
      </c>
      <c r="B719" s="15" t="s">
        <v>1519</v>
      </c>
      <c r="C719" s="15" t="s">
        <v>1520</v>
      </c>
      <c r="D719" s="2" t="s">
        <v>1521</v>
      </c>
      <c r="E719" s="16">
        <v>1</v>
      </c>
      <c r="F719" s="17">
        <v>45345</v>
      </c>
      <c r="G719" s="18" t="s">
        <v>8</v>
      </c>
      <c r="H719" s="18" t="s">
        <v>36</v>
      </c>
      <c r="I719" s="19">
        <v>19</v>
      </c>
      <c r="J719" s="18" t="s">
        <v>1395</v>
      </c>
      <c r="K719" s="19" t="s">
        <v>1396</v>
      </c>
      <c r="L719" s="14" t="s">
        <v>281</v>
      </c>
      <c r="M719" s="49" t="str">
        <f>+VLOOKUP(C719,'[1]Table 1'!$B:$B,1,0)</f>
        <v>4600022667-001-03350-ESPEL-00005</v>
      </c>
    </row>
    <row r="720" spans="1:13" ht="13.5" hidden="1" customHeight="1">
      <c r="A720" s="14">
        <f t="shared" si="10"/>
        <v>713</v>
      </c>
      <c r="B720" s="15" t="s">
        <v>1522</v>
      </c>
      <c r="C720" s="15" t="s">
        <v>1523</v>
      </c>
      <c r="D720" s="2" t="s">
        <v>1524</v>
      </c>
      <c r="E720" s="16">
        <v>1</v>
      </c>
      <c r="F720" s="17">
        <v>45345</v>
      </c>
      <c r="G720" s="18" t="s">
        <v>8</v>
      </c>
      <c r="H720" s="18" t="s">
        <v>36</v>
      </c>
      <c r="I720" s="19">
        <v>21</v>
      </c>
      <c r="J720" s="18" t="s">
        <v>1395</v>
      </c>
      <c r="K720" s="19" t="s">
        <v>1396</v>
      </c>
      <c r="L720" s="14" t="s">
        <v>281</v>
      </c>
      <c r="M720" s="49" t="str">
        <f>+VLOOKUP(C720,'[1]Table 1'!$B:$B,1,0)</f>
        <v>4600022667-001-03350-ESPEL-00006</v>
      </c>
    </row>
    <row r="721" spans="1:13" ht="13.5" hidden="1" customHeight="1">
      <c r="A721" s="14">
        <f t="shared" si="10"/>
        <v>714</v>
      </c>
      <c r="B721" s="15" t="s">
        <v>1525</v>
      </c>
      <c r="C721" s="15" t="s">
        <v>1526</v>
      </c>
      <c r="D721" s="2" t="s">
        <v>1527</v>
      </c>
      <c r="E721" s="16">
        <v>1</v>
      </c>
      <c r="F721" s="17">
        <v>45345</v>
      </c>
      <c r="G721" s="18" t="s">
        <v>8</v>
      </c>
      <c r="H721" s="18" t="s">
        <v>36</v>
      </c>
      <c r="I721" s="19">
        <v>23</v>
      </c>
      <c r="J721" s="18" t="s">
        <v>1395</v>
      </c>
      <c r="K721" s="19" t="s">
        <v>1396</v>
      </c>
      <c r="L721" s="14" t="s">
        <v>281</v>
      </c>
      <c r="M721" s="49" t="str">
        <f>+VLOOKUP(C721,'[1]Table 1'!$B:$B,1,0)</f>
        <v>4600022667-001-03350-ESPEL-00007</v>
      </c>
    </row>
    <row r="722" spans="1:13" ht="13.5" hidden="1" customHeight="1">
      <c r="A722" s="14">
        <f t="shared" si="10"/>
        <v>715</v>
      </c>
      <c r="B722" s="15" t="s">
        <v>1528</v>
      </c>
      <c r="C722" s="15" t="s">
        <v>1529</v>
      </c>
      <c r="D722" s="2" t="s">
        <v>1530</v>
      </c>
      <c r="E722" s="16">
        <v>2</v>
      </c>
      <c r="F722" s="17">
        <v>45345</v>
      </c>
      <c r="G722" s="18" t="s">
        <v>9</v>
      </c>
      <c r="H722" s="18" t="s">
        <v>36</v>
      </c>
      <c r="I722" s="19">
        <v>26</v>
      </c>
      <c r="J722" s="18" t="s">
        <v>1395</v>
      </c>
      <c r="K722" s="19" t="s">
        <v>1396</v>
      </c>
      <c r="L722" s="14" t="s">
        <v>281</v>
      </c>
      <c r="M722" s="49" t="str">
        <f>+VLOOKUP(C722,'[1]Table 1'!$B:$B,1,0)</f>
        <v>4600022667-001-03350-HDDEL-00001</v>
      </c>
    </row>
    <row r="723" spans="1:13" ht="13.5" hidden="1" customHeight="1">
      <c r="A723" s="14">
        <f t="shared" si="10"/>
        <v>716</v>
      </c>
      <c r="B723" s="15" t="s">
        <v>1531</v>
      </c>
      <c r="C723" s="15" t="s">
        <v>1532</v>
      </c>
      <c r="D723" s="2" t="s">
        <v>1533</v>
      </c>
      <c r="E723" s="16">
        <v>1</v>
      </c>
      <c r="F723" s="17">
        <v>45345</v>
      </c>
      <c r="G723" s="18" t="s">
        <v>9</v>
      </c>
      <c r="H723" s="18" t="s">
        <v>36</v>
      </c>
      <c r="I723" s="19">
        <v>14</v>
      </c>
      <c r="J723" s="18" t="s">
        <v>1395</v>
      </c>
      <c r="K723" s="19" t="s">
        <v>1396</v>
      </c>
      <c r="L723" s="14" t="s">
        <v>281</v>
      </c>
      <c r="M723" s="49" t="str">
        <f>+VLOOKUP(C723,'[1]Table 1'!$B:$B,1,0)</f>
        <v>4600022667-001-03350-HDDEL-00002</v>
      </c>
    </row>
    <row r="724" spans="1:13" ht="13.5" hidden="1" customHeight="1">
      <c r="A724" s="14">
        <f t="shared" si="10"/>
        <v>717</v>
      </c>
      <c r="B724" s="15" t="s">
        <v>1534</v>
      </c>
      <c r="C724" s="15" t="s">
        <v>1535</v>
      </c>
      <c r="D724" s="2" t="s">
        <v>1536</v>
      </c>
      <c r="E724" s="16" t="s">
        <v>1537</v>
      </c>
      <c r="F724" s="17">
        <v>45345</v>
      </c>
      <c r="G724" s="18" t="s">
        <v>9</v>
      </c>
      <c r="H724" s="18" t="s">
        <v>36</v>
      </c>
      <c r="I724" s="19">
        <v>12</v>
      </c>
      <c r="J724" s="18" t="s">
        <v>1395</v>
      </c>
      <c r="K724" s="19" t="s">
        <v>1396</v>
      </c>
      <c r="L724" s="14" t="s">
        <v>281</v>
      </c>
      <c r="M724" s="49" t="str">
        <f>+VLOOKUP(C724,'[1]Table 1'!$B:$B,1,0)</f>
        <v>4600022667-001-03350-HDDEL-00003</v>
      </c>
    </row>
    <row r="725" spans="1:13" ht="13.5" hidden="1" customHeight="1">
      <c r="A725" s="14">
        <f t="shared" si="10"/>
        <v>718</v>
      </c>
      <c r="B725" s="15" t="s">
        <v>1538</v>
      </c>
      <c r="C725" s="15" t="s">
        <v>1539</v>
      </c>
      <c r="D725" s="2" t="s">
        <v>1540</v>
      </c>
      <c r="E725" s="16">
        <v>1</v>
      </c>
      <c r="F725" s="17">
        <v>45345</v>
      </c>
      <c r="G725" s="18" t="s">
        <v>9</v>
      </c>
      <c r="H725" s="18" t="s">
        <v>36</v>
      </c>
      <c r="I725" s="19">
        <v>16</v>
      </c>
      <c r="J725" s="18" t="s">
        <v>1395</v>
      </c>
      <c r="K725" s="19" t="s">
        <v>1396</v>
      </c>
      <c r="L725" s="14" t="s">
        <v>281</v>
      </c>
      <c r="M725" s="49" t="str">
        <f>+VLOOKUP(C725,'[1]Table 1'!$B:$B,1,0)</f>
        <v>4600022667-001-03350-HDDEL-00004</v>
      </c>
    </row>
    <row r="726" spans="1:13" ht="13.5" hidden="1" customHeight="1">
      <c r="A726" s="14">
        <f t="shared" si="10"/>
        <v>719</v>
      </c>
      <c r="B726" s="15" t="s">
        <v>1541</v>
      </c>
      <c r="C726" s="15" t="s">
        <v>1542</v>
      </c>
      <c r="D726" s="2" t="s">
        <v>1543</v>
      </c>
      <c r="E726" s="16">
        <v>1</v>
      </c>
      <c r="F726" s="17">
        <v>45345</v>
      </c>
      <c r="G726" s="18" t="s">
        <v>9</v>
      </c>
      <c r="H726" s="18" t="s">
        <v>36</v>
      </c>
      <c r="I726" s="19">
        <v>27</v>
      </c>
      <c r="J726" s="18" t="s">
        <v>1395</v>
      </c>
      <c r="K726" s="19" t="s">
        <v>1396</v>
      </c>
      <c r="L726" s="14" t="s">
        <v>281</v>
      </c>
      <c r="M726" s="49" t="str">
        <f>+VLOOKUP(C726,'[1]Table 1'!$B:$B,1,0)</f>
        <v>4600022667-001-03350-HDDEL-00005</v>
      </c>
    </row>
    <row r="727" spans="1:13" ht="13.5" hidden="1" customHeight="1">
      <c r="A727" s="14">
        <f t="shared" si="10"/>
        <v>720</v>
      </c>
      <c r="B727" s="15" t="s">
        <v>1544</v>
      </c>
      <c r="C727" s="15" t="s">
        <v>1545</v>
      </c>
      <c r="D727" s="2" t="s">
        <v>1546</v>
      </c>
      <c r="E727" s="16">
        <v>0</v>
      </c>
      <c r="F727" s="17">
        <v>45345</v>
      </c>
      <c r="G727" s="18" t="s">
        <v>10</v>
      </c>
      <c r="H727" s="18" t="s">
        <v>36</v>
      </c>
      <c r="I727" s="19">
        <v>11</v>
      </c>
      <c r="J727" s="18" t="s">
        <v>1395</v>
      </c>
      <c r="K727" s="19" t="s">
        <v>1396</v>
      </c>
      <c r="L727" s="14" t="s">
        <v>281</v>
      </c>
      <c r="M727" s="49" t="str">
        <f>+VLOOKUP(C727,'[1]Table 1'!$B:$B,1,0)</f>
        <v>4600022667-001-03350-INFEL-00001</v>
      </c>
    </row>
    <row r="728" spans="1:13" ht="13.5" hidden="1" customHeight="1">
      <c r="A728" s="14">
        <f t="shared" si="10"/>
        <v>721</v>
      </c>
      <c r="B728" s="15" t="s">
        <v>1547</v>
      </c>
      <c r="C728" s="15" t="s">
        <v>1548</v>
      </c>
      <c r="D728" s="2" t="s">
        <v>1549</v>
      </c>
      <c r="E728" s="16">
        <v>0</v>
      </c>
      <c r="F728" s="17">
        <v>45345</v>
      </c>
      <c r="G728" s="18" t="s">
        <v>11</v>
      </c>
      <c r="H728" s="18" t="s">
        <v>36</v>
      </c>
      <c r="I728" s="19">
        <v>7</v>
      </c>
      <c r="J728" s="18" t="s">
        <v>1395</v>
      </c>
      <c r="K728" s="19" t="s">
        <v>1396</v>
      </c>
      <c r="L728" s="14" t="s">
        <v>281</v>
      </c>
      <c r="M728" s="49" t="str">
        <f>+VLOOKUP(C728,'[1]Table 1'!$B:$B,1,0)</f>
        <v>4600022667-001-03350-LSTEL-00001</v>
      </c>
    </row>
    <row r="729" spans="1:13" ht="13.5" hidden="1" customHeight="1">
      <c r="A729" s="14">
        <f t="shared" si="10"/>
        <v>722</v>
      </c>
      <c r="B729" s="15" t="s">
        <v>1550</v>
      </c>
      <c r="C729" s="15" t="s">
        <v>1551</v>
      </c>
      <c r="D729" s="2" t="s">
        <v>1552</v>
      </c>
      <c r="E729" s="16">
        <v>1</v>
      </c>
      <c r="F729" s="17">
        <v>45345</v>
      </c>
      <c r="G729" s="18" t="s">
        <v>11</v>
      </c>
      <c r="H729" s="18" t="s">
        <v>36</v>
      </c>
      <c r="I729" s="19">
        <v>8</v>
      </c>
      <c r="J729" s="18" t="s">
        <v>1395</v>
      </c>
      <c r="K729" s="19" t="s">
        <v>1396</v>
      </c>
      <c r="L729" s="14" t="s">
        <v>281</v>
      </c>
      <c r="M729" s="49" t="str">
        <f>+VLOOKUP(C729,'[1]Table 1'!$B:$B,1,0)</f>
        <v>4600022667-001-03350-LSTEL-00002</v>
      </c>
    </row>
    <row r="730" spans="1:13" ht="13.5" hidden="1" customHeight="1">
      <c r="A730" s="14">
        <f t="shared" si="10"/>
        <v>723</v>
      </c>
      <c r="B730" s="15" t="s">
        <v>1553</v>
      </c>
      <c r="C730" s="15" t="s">
        <v>1554</v>
      </c>
      <c r="D730" s="2" t="s">
        <v>1555</v>
      </c>
      <c r="E730" s="16">
        <v>1</v>
      </c>
      <c r="F730" s="17">
        <v>45345</v>
      </c>
      <c r="G730" s="18" t="s">
        <v>600</v>
      </c>
      <c r="H730" s="18" t="s">
        <v>36</v>
      </c>
      <c r="I730" s="19">
        <v>53</v>
      </c>
      <c r="J730" s="18" t="s">
        <v>1395</v>
      </c>
      <c r="K730" s="19" t="s">
        <v>1396</v>
      </c>
      <c r="L730" s="14" t="s">
        <v>281</v>
      </c>
      <c r="M730" s="49" t="str">
        <f>+VLOOKUP(C730,'[1]Table 1'!$B:$B,1,0)</f>
        <v>4600022667-001-03350-MDCEL-00002</v>
      </c>
    </row>
    <row r="731" spans="1:13" ht="13.5" hidden="1" customHeight="1">
      <c r="A731" s="14">
        <f t="shared" si="10"/>
        <v>724</v>
      </c>
      <c r="B731" s="15" t="s">
        <v>1556</v>
      </c>
      <c r="C731" s="15" t="s">
        <v>1557</v>
      </c>
      <c r="D731" s="2" t="s">
        <v>1558</v>
      </c>
      <c r="E731" s="16">
        <v>0</v>
      </c>
      <c r="F731" s="17">
        <v>45345</v>
      </c>
      <c r="G731" s="18" t="s">
        <v>600</v>
      </c>
      <c r="H731" s="18" t="s">
        <v>36</v>
      </c>
      <c r="I731" s="19">
        <v>15</v>
      </c>
      <c r="J731" s="18" t="s">
        <v>1395</v>
      </c>
      <c r="K731" s="19" t="s">
        <v>1396</v>
      </c>
      <c r="L731" s="14" t="s">
        <v>281</v>
      </c>
      <c r="M731" s="49" t="str">
        <f>+VLOOKUP(C731,'[1]Table 1'!$B:$B,1,0)</f>
        <v>4600022667-001-03350-MDCEL-00004</v>
      </c>
    </row>
    <row r="732" spans="1:13" ht="13.5" hidden="1" customHeight="1">
      <c r="A732" s="14">
        <f t="shared" si="10"/>
        <v>725</v>
      </c>
      <c r="B732" s="15" t="s">
        <v>1559</v>
      </c>
      <c r="C732" s="15" t="s">
        <v>1560</v>
      </c>
      <c r="D732" s="2" t="s">
        <v>1561</v>
      </c>
      <c r="E732" s="16">
        <v>0</v>
      </c>
      <c r="F732" s="17">
        <v>45345</v>
      </c>
      <c r="G732" s="18" t="s">
        <v>600</v>
      </c>
      <c r="H732" s="18" t="s">
        <v>36</v>
      </c>
      <c r="I732" s="19">
        <v>9</v>
      </c>
      <c r="J732" s="18" t="s">
        <v>1395</v>
      </c>
      <c r="K732" s="19" t="s">
        <v>1396</v>
      </c>
      <c r="L732" s="14" t="s">
        <v>281</v>
      </c>
      <c r="M732" s="49" t="str">
        <f>+VLOOKUP(C732,'[1]Table 1'!$B:$B,1,0)</f>
        <v>4600022667-001-03350-MDCEL-00005</v>
      </c>
    </row>
    <row r="733" spans="1:13" ht="13.5" hidden="1" customHeight="1">
      <c r="A733" s="14">
        <f t="shared" si="10"/>
        <v>726</v>
      </c>
      <c r="B733" s="15" t="s">
        <v>1562</v>
      </c>
      <c r="C733" s="15" t="s">
        <v>1563</v>
      </c>
      <c r="D733" s="2" t="s">
        <v>1564</v>
      </c>
      <c r="E733" s="16">
        <v>0</v>
      </c>
      <c r="F733" s="17">
        <v>45345</v>
      </c>
      <c r="G733" s="18" t="s">
        <v>600</v>
      </c>
      <c r="H733" s="18" t="s">
        <v>36</v>
      </c>
      <c r="I733" s="19">
        <v>9</v>
      </c>
      <c r="J733" s="18" t="s">
        <v>1395</v>
      </c>
      <c r="K733" s="19" t="s">
        <v>1396</v>
      </c>
      <c r="L733" s="14" t="s">
        <v>281</v>
      </c>
      <c r="M733" s="49" t="str">
        <f>+VLOOKUP(C733,'[1]Table 1'!$B:$B,1,0)</f>
        <v>4600022667-001-03350-MDCEL-00007</v>
      </c>
    </row>
    <row r="734" spans="1:13" ht="13.5" hidden="1" customHeight="1">
      <c r="A734" s="14">
        <f t="shared" si="10"/>
        <v>727</v>
      </c>
      <c r="B734" s="15" t="s">
        <v>1565</v>
      </c>
      <c r="C734" s="15" t="s">
        <v>1566</v>
      </c>
      <c r="D734" s="2" t="s">
        <v>1567</v>
      </c>
      <c r="E734" s="16">
        <v>0</v>
      </c>
      <c r="F734" s="17">
        <v>45345</v>
      </c>
      <c r="G734" s="18" t="s">
        <v>600</v>
      </c>
      <c r="H734" s="18" t="s">
        <v>36</v>
      </c>
      <c r="I734" s="19">
        <v>9</v>
      </c>
      <c r="J734" s="18" t="s">
        <v>1395</v>
      </c>
      <c r="K734" s="19" t="s">
        <v>1396</v>
      </c>
      <c r="L734" s="14" t="s">
        <v>281</v>
      </c>
      <c r="M734" s="49" t="str">
        <f>+VLOOKUP(C734,'[1]Table 1'!$B:$B,1,0)</f>
        <v>4600022667-001-03350-MDCEL-00009</v>
      </c>
    </row>
    <row r="735" spans="1:13" ht="13.5" hidden="1" customHeight="1">
      <c r="A735" s="14">
        <f t="shared" si="10"/>
        <v>728</v>
      </c>
      <c r="B735" s="15" t="s">
        <v>1568</v>
      </c>
      <c r="C735" s="15" t="s">
        <v>1569</v>
      </c>
      <c r="D735" s="2" t="s">
        <v>1570</v>
      </c>
      <c r="E735" s="16">
        <v>0</v>
      </c>
      <c r="F735" s="17">
        <v>45345</v>
      </c>
      <c r="G735" s="18" t="s">
        <v>600</v>
      </c>
      <c r="H735" s="18" t="s">
        <v>36</v>
      </c>
      <c r="I735" s="19">
        <v>9</v>
      </c>
      <c r="J735" s="18" t="s">
        <v>1395</v>
      </c>
      <c r="K735" s="19" t="s">
        <v>1396</v>
      </c>
      <c r="L735" s="14" t="s">
        <v>281</v>
      </c>
      <c r="M735" s="49" t="str">
        <f>+VLOOKUP(C735,'[1]Table 1'!$B:$B,1,0)</f>
        <v>4600022667-001-03350-MDCEL-00013</v>
      </c>
    </row>
    <row r="736" spans="1:13" ht="13.5" hidden="1" customHeight="1">
      <c r="A736" s="14">
        <f t="shared" si="10"/>
        <v>729</v>
      </c>
      <c r="B736" s="15" t="s">
        <v>1571</v>
      </c>
      <c r="C736" s="15" t="s">
        <v>1572</v>
      </c>
      <c r="D736" s="2" t="s">
        <v>1573</v>
      </c>
      <c r="E736" s="16">
        <v>0</v>
      </c>
      <c r="F736" s="17">
        <v>45345</v>
      </c>
      <c r="G736" s="18" t="s">
        <v>600</v>
      </c>
      <c r="H736" s="18" t="s">
        <v>36</v>
      </c>
      <c r="I736" s="19">
        <v>15</v>
      </c>
      <c r="J736" s="18" t="s">
        <v>1395</v>
      </c>
      <c r="K736" s="19" t="s">
        <v>1396</v>
      </c>
      <c r="L736" s="14" t="s">
        <v>281</v>
      </c>
      <c r="M736" s="49" t="str">
        <f>+VLOOKUP(C736,'[1]Table 1'!$B:$B,1,0)</f>
        <v>4600022667-001-03350-MDCEL-00017</v>
      </c>
    </row>
    <row r="737" spans="1:13" ht="13.5" hidden="1" customHeight="1">
      <c r="A737" s="14">
        <f t="shared" si="10"/>
        <v>730</v>
      </c>
      <c r="B737" s="15" t="s">
        <v>1574</v>
      </c>
      <c r="C737" s="15" t="s">
        <v>1575</v>
      </c>
      <c r="D737" s="2" t="s">
        <v>1576</v>
      </c>
      <c r="E737" s="16">
        <v>1</v>
      </c>
      <c r="F737" s="17">
        <v>45345</v>
      </c>
      <c r="G737" s="18" t="s">
        <v>600</v>
      </c>
      <c r="H737" s="18" t="s">
        <v>36</v>
      </c>
      <c r="I737" s="19">
        <v>11</v>
      </c>
      <c r="J737" s="18" t="s">
        <v>1395</v>
      </c>
      <c r="K737" s="19" t="s">
        <v>1396</v>
      </c>
      <c r="L737" s="14" t="s">
        <v>281</v>
      </c>
      <c r="M737" s="49" t="str">
        <f>+VLOOKUP(C737,'[1]Table 1'!$B:$B,1,0)</f>
        <v>4600022667-001-03350-MDCEL-00019</v>
      </c>
    </row>
    <row r="738" spans="1:13" ht="13.5" hidden="1" customHeight="1">
      <c r="A738" s="14">
        <f t="shared" si="10"/>
        <v>731</v>
      </c>
      <c r="B738" s="15" t="s">
        <v>1577</v>
      </c>
      <c r="C738" s="15" t="s">
        <v>1578</v>
      </c>
      <c r="D738" s="2" t="s">
        <v>1579</v>
      </c>
      <c r="E738" s="16">
        <v>0</v>
      </c>
      <c r="F738" s="17">
        <v>45345</v>
      </c>
      <c r="G738" s="18" t="s">
        <v>600</v>
      </c>
      <c r="H738" s="18" t="s">
        <v>36</v>
      </c>
      <c r="I738" s="19">
        <v>14</v>
      </c>
      <c r="J738" s="18" t="s">
        <v>1395</v>
      </c>
      <c r="K738" s="19" t="s">
        <v>1396</v>
      </c>
      <c r="L738" s="14" t="s">
        <v>281</v>
      </c>
      <c r="M738" s="49" t="str">
        <f>+VLOOKUP(C738,'[1]Table 1'!$B:$B,1,0)</f>
        <v>4600022667-001-03350-MDCEL-00020</v>
      </c>
    </row>
    <row r="739" spans="1:13" ht="13.5" hidden="1" customHeight="1">
      <c r="A739" s="14">
        <f t="shared" si="10"/>
        <v>732</v>
      </c>
      <c r="B739" s="15" t="s">
        <v>1580</v>
      </c>
      <c r="C739" s="15" t="s">
        <v>1581</v>
      </c>
      <c r="D739" s="2" t="s">
        <v>1582</v>
      </c>
      <c r="E739" s="16">
        <v>0</v>
      </c>
      <c r="F739" s="17">
        <v>45345</v>
      </c>
      <c r="G739" s="18" t="s">
        <v>600</v>
      </c>
      <c r="H739" s="18" t="s">
        <v>36</v>
      </c>
      <c r="I739" s="19">
        <v>12</v>
      </c>
      <c r="J739" s="18" t="s">
        <v>1395</v>
      </c>
      <c r="K739" s="19" t="s">
        <v>1396</v>
      </c>
      <c r="L739" s="14" t="s">
        <v>281</v>
      </c>
      <c r="M739" s="49" t="str">
        <f>+VLOOKUP(C739,'[1]Table 1'!$B:$B,1,0)</f>
        <v>4600022667-001-03350-MDCEL-00023</v>
      </c>
    </row>
    <row r="740" spans="1:13" ht="13.5" hidden="1" customHeight="1">
      <c r="A740" s="14">
        <f t="shared" si="10"/>
        <v>733</v>
      </c>
      <c r="B740" s="15" t="s">
        <v>1583</v>
      </c>
      <c r="C740" s="15" t="s">
        <v>1584</v>
      </c>
      <c r="D740" s="2" t="s">
        <v>1585</v>
      </c>
      <c r="E740" s="16">
        <v>0</v>
      </c>
      <c r="F740" s="17">
        <v>45345</v>
      </c>
      <c r="G740" s="18" t="s">
        <v>600</v>
      </c>
      <c r="H740" s="18" t="s">
        <v>36</v>
      </c>
      <c r="I740" s="19">
        <v>77</v>
      </c>
      <c r="J740" s="18" t="s">
        <v>1395</v>
      </c>
      <c r="K740" s="19" t="s">
        <v>1396</v>
      </c>
      <c r="L740" s="14" t="s">
        <v>281</v>
      </c>
      <c r="M740" s="49" t="str">
        <f>+VLOOKUP(C740,'[1]Table 1'!$B:$B,1,0)</f>
        <v>4600022667-001-03350-MDCEL-00024</v>
      </c>
    </row>
    <row r="741" spans="1:13" ht="13.5" hidden="1" customHeight="1">
      <c r="A741" s="14">
        <f t="shared" si="10"/>
        <v>734</v>
      </c>
      <c r="B741" s="15" t="s">
        <v>1586</v>
      </c>
      <c r="C741" s="15" t="s">
        <v>1587</v>
      </c>
      <c r="D741" s="2" t="s">
        <v>1588</v>
      </c>
      <c r="E741" s="16" t="s">
        <v>335</v>
      </c>
      <c r="F741" s="17">
        <v>45345</v>
      </c>
      <c r="G741" s="18" t="s">
        <v>14</v>
      </c>
      <c r="H741" s="18" t="s">
        <v>36</v>
      </c>
      <c r="I741" s="19">
        <v>1</v>
      </c>
      <c r="J741" s="18" t="s">
        <v>1589</v>
      </c>
      <c r="K741" s="19" t="s">
        <v>1590</v>
      </c>
      <c r="L741" s="14" t="s">
        <v>281</v>
      </c>
      <c r="M741" s="49" t="str">
        <f>+VLOOKUP(C741,'[1]Table 1'!$B:$B,1,0)</f>
        <v>4600022667-001-03350-202ES-00001</v>
      </c>
    </row>
    <row r="742" spans="1:13" ht="13.5" hidden="1" customHeight="1">
      <c r="A742" s="14">
        <f t="shared" si="10"/>
        <v>735</v>
      </c>
      <c r="B742" s="15" t="s">
        <v>1591</v>
      </c>
      <c r="C742" s="15" t="s">
        <v>1592</v>
      </c>
      <c r="D742" s="2" t="s">
        <v>1593</v>
      </c>
      <c r="E742" s="16" t="s">
        <v>335</v>
      </c>
      <c r="F742" s="17">
        <v>45345</v>
      </c>
      <c r="G742" s="18" t="s">
        <v>14</v>
      </c>
      <c r="H742" s="18" t="s">
        <v>36</v>
      </c>
      <c r="I742" s="19">
        <v>1</v>
      </c>
      <c r="J742" s="18" t="s">
        <v>1589</v>
      </c>
      <c r="K742" s="19" t="s">
        <v>1590</v>
      </c>
      <c r="L742" s="14" t="s">
        <v>281</v>
      </c>
      <c r="M742" s="49" t="str">
        <f>+VLOOKUP(C742,'[1]Table 1'!$B:$B,1,0)</f>
        <v>4600022667-001-03350-202ES-00002</v>
      </c>
    </row>
    <row r="743" spans="1:13" ht="13.5" hidden="1" customHeight="1">
      <c r="A743" s="14">
        <f t="shared" si="10"/>
        <v>736</v>
      </c>
      <c r="B743" s="15" t="s">
        <v>1594</v>
      </c>
      <c r="C743" s="15" t="s">
        <v>1595</v>
      </c>
      <c r="D743" s="2" t="s">
        <v>1596</v>
      </c>
      <c r="E743" s="16" t="s">
        <v>335</v>
      </c>
      <c r="F743" s="17">
        <v>45345</v>
      </c>
      <c r="G743" s="18" t="s">
        <v>14</v>
      </c>
      <c r="H743" s="18" t="s">
        <v>36</v>
      </c>
      <c r="I743" s="19">
        <v>1</v>
      </c>
      <c r="J743" s="18" t="s">
        <v>1589</v>
      </c>
      <c r="K743" s="19" t="s">
        <v>1590</v>
      </c>
      <c r="L743" s="14" t="s">
        <v>281</v>
      </c>
      <c r="M743" s="49" t="str">
        <f>+VLOOKUP(C743,'[1]Table 1'!$B:$B,1,0)</f>
        <v>4600022667-001-03350-202ES-00003</v>
      </c>
    </row>
    <row r="744" spans="1:13" ht="13.5" hidden="1" customHeight="1">
      <c r="A744" s="14">
        <f t="shared" si="10"/>
        <v>737</v>
      </c>
      <c r="B744" s="15" t="s">
        <v>1597</v>
      </c>
      <c r="C744" s="15" t="s">
        <v>1598</v>
      </c>
      <c r="D744" s="2" t="s">
        <v>1599</v>
      </c>
      <c r="E744" s="16" t="s">
        <v>335</v>
      </c>
      <c r="F744" s="17">
        <v>45345</v>
      </c>
      <c r="G744" s="18" t="s">
        <v>14</v>
      </c>
      <c r="H744" s="18" t="s">
        <v>36</v>
      </c>
      <c r="I744" s="19">
        <v>1</v>
      </c>
      <c r="J744" s="18" t="s">
        <v>1589</v>
      </c>
      <c r="K744" s="19" t="s">
        <v>1590</v>
      </c>
      <c r="L744" s="14" t="s">
        <v>281</v>
      </c>
      <c r="M744" s="49" t="str">
        <f>+VLOOKUP(C744,'[1]Table 1'!$B:$B,1,0)</f>
        <v>4600022667-001-03350-202ES-00004</v>
      </c>
    </row>
    <row r="745" spans="1:13" ht="13.5" hidden="1" customHeight="1">
      <c r="A745" s="14">
        <f t="shared" si="10"/>
        <v>738</v>
      </c>
      <c r="B745" s="15" t="s">
        <v>1600</v>
      </c>
      <c r="C745" s="15" t="s">
        <v>1601</v>
      </c>
      <c r="D745" s="2" t="s">
        <v>1602</v>
      </c>
      <c r="E745" s="16">
        <v>0</v>
      </c>
      <c r="F745" s="17">
        <v>45345</v>
      </c>
      <c r="G745" s="18" t="s">
        <v>14</v>
      </c>
      <c r="H745" s="18" t="s">
        <v>36</v>
      </c>
      <c r="I745" s="19">
        <v>1</v>
      </c>
      <c r="J745" s="18" t="s">
        <v>1589</v>
      </c>
      <c r="K745" s="19" t="s">
        <v>1590</v>
      </c>
      <c r="L745" s="14" t="s">
        <v>281</v>
      </c>
      <c r="M745" s="49" t="str">
        <f>+VLOOKUP(C745,'[1]Table 1'!$B:$B,1,0)</f>
        <v>4600022667-001-03350-202ES-00005</v>
      </c>
    </row>
    <row r="746" spans="1:13" ht="13.5" hidden="1" customHeight="1">
      <c r="A746" s="14">
        <f t="shared" si="10"/>
        <v>739</v>
      </c>
      <c r="B746" s="15" t="s">
        <v>1603</v>
      </c>
      <c r="C746" s="15" t="s">
        <v>1604</v>
      </c>
      <c r="D746" s="2" t="s">
        <v>1605</v>
      </c>
      <c r="E746" s="16">
        <v>0</v>
      </c>
      <c r="F746" s="17">
        <v>45345</v>
      </c>
      <c r="G746" s="18" t="s">
        <v>14</v>
      </c>
      <c r="H746" s="18" t="s">
        <v>36</v>
      </c>
      <c r="I746" s="19">
        <v>1</v>
      </c>
      <c r="J746" s="18" t="s">
        <v>1589</v>
      </c>
      <c r="K746" s="19" t="s">
        <v>1590</v>
      </c>
      <c r="L746" s="14" t="s">
        <v>281</v>
      </c>
      <c r="M746" s="49" t="str">
        <f>+VLOOKUP(C746,'[1]Table 1'!$B:$B,1,0)</f>
        <v>4600022667-001-03350-202ES-00006</v>
      </c>
    </row>
    <row r="747" spans="1:13" ht="13.5" hidden="1" customHeight="1">
      <c r="A747" s="14">
        <f t="shared" si="10"/>
        <v>740</v>
      </c>
      <c r="B747" s="15" t="s">
        <v>1606</v>
      </c>
      <c r="C747" s="15" t="s">
        <v>1607</v>
      </c>
      <c r="D747" s="2" t="s">
        <v>1608</v>
      </c>
      <c r="E747" s="16">
        <v>0</v>
      </c>
      <c r="F747" s="17">
        <v>45345</v>
      </c>
      <c r="G747" s="18" t="s">
        <v>14</v>
      </c>
      <c r="H747" s="18" t="s">
        <v>36</v>
      </c>
      <c r="I747" s="19">
        <v>1</v>
      </c>
      <c r="J747" s="18" t="s">
        <v>1589</v>
      </c>
      <c r="K747" s="19" t="s">
        <v>1590</v>
      </c>
      <c r="L747" s="14" t="s">
        <v>281</v>
      </c>
      <c r="M747" s="49" t="str">
        <f>+VLOOKUP(C747,'[1]Table 1'!$B:$B,1,0)</f>
        <v>4600022667-001-03350-202ES-00007</v>
      </c>
    </row>
    <row r="748" spans="1:13" ht="13.5" hidden="1" customHeight="1">
      <c r="A748" s="14">
        <f t="shared" si="10"/>
        <v>741</v>
      </c>
      <c r="B748" s="15" t="s">
        <v>1609</v>
      </c>
      <c r="C748" s="15" t="s">
        <v>1610</v>
      </c>
      <c r="D748" s="2" t="s">
        <v>1611</v>
      </c>
      <c r="E748" s="16">
        <v>0</v>
      </c>
      <c r="F748" s="17">
        <v>45345</v>
      </c>
      <c r="G748" s="18" t="s">
        <v>14</v>
      </c>
      <c r="H748" s="18" t="s">
        <v>36</v>
      </c>
      <c r="I748" s="19">
        <v>1</v>
      </c>
      <c r="J748" s="18" t="s">
        <v>1589</v>
      </c>
      <c r="K748" s="19" t="s">
        <v>1590</v>
      </c>
      <c r="L748" s="14" t="s">
        <v>281</v>
      </c>
      <c r="M748" s="49" t="str">
        <f>+VLOOKUP(C748,'[1]Table 1'!$B:$B,1,0)</f>
        <v>4600022667-001-03350-202ES-00008</v>
      </c>
    </row>
    <row r="749" spans="1:13" ht="13.5" hidden="1" customHeight="1">
      <c r="A749" s="14">
        <f t="shared" si="10"/>
        <v>742</v>
      </c>
      <c r="B749" s="15" t="s">
        <v>1612</v>
      </c>
      <c r="C749" s="15" t="s">
        <v>1613</v>
      </c>
      <c r="D749" s="2" t="s">
        <v>1614</v>
      </c>
      <c r="E749" s="16">
        <v>0</v>
      </c>
      <c r="F749" s="17">
        <v>45345</v>
      </c>
      <c r="G749" s="18" t="s">
        <v>14</v>
      </c>
      <c r="H749" s="18" t="s">
        <v>36</v>
      </c>
      <c r="I749" s="19">
        <v>1</v>
      </c>
      <c r="J749" s="18" t="s">
        <v>1589</v>
      </c>
      <c r="K749" s="19" t="s">
        <v>1590</v>
      </c>
      <c r="L749" s="14" t="s">
        <v>281</v>
      </c>
      <c r="M749" s="49" t="str">
        <f>+VLOOKUP(C749,'[1]Table 1'!$B:$B,1,0)</f>
        <v>4600022667-001-03350-202ES-00009</v>
      </c>
    </row>
    <row r="750" spans="1:13" ht="13.5" hidden="1" customHeight="1">
      <c r="A750" s="14">
        <f t="shared" si="10"/>
        <v>743</v>
      </c>
      <c r="B750" s="15" t="s">
        <v>1615</v>
      </c>
      <c r="C750" s="15" t="s">
        <v>1616</v>
      </c>
      <c r="D750" s="2" t="s">
        <v>1617</v>
      </c>
      <c r="E750" s="16">
        <v>0</v>
      </c>
      <c r="F750" s="17">
        <v>45345</v>
      </c>
      <c r="G750" s="18" t="s">
        <v>14</v>
      </c>
      <c r="H750" s="18" t="s">
        <v>36</v>
      </c>
      <c r="I750" s="19">
        <v>1</v>
      </c>
      <c r="J750" s="18" t="s">
        <v>1589</v>
      </c>
      <c r="K750" s="19" t="s">
        <v>1590</v>
      </c>
      <c r="L750" s="14" t="s">
        <v>281</v>
      </c>
      <c r="M750" s="49" t="str">
        <f>+VLOOKUP(C750,'[1]Table 1'!$B:$B,1,0)</f>
        <v>4600022667-001-03350-202ES-00011</v>
      </c>
    </row>
    <row r="751" spans="1:13" ht="13.5" hidden="1" customHeight="1">
      <c r="A751" s="14">
        <f t="shared" si="10"/>
        <v>744</v>
      </c>
      <c r="B751" s="15" t="s">
        <v>1618</v>
      </c>
      <c r="C751" s="15" t="s">
        <v>1619</v>
      </c>
      <c r="D751" s="2" t="s">
        <v>1620</v>
      </c>
      <c r="E751" s="16">
        <v>0</v>
      </c>
      <c r="F751" s="17">
        <v>45345</v>
      </c>
      <c r="G751" s="18" t="s">
        <v>14</v>
      </c>
      <c r="H751" s="18" t="s">
        <v>36</v>
      </c>
      <c r="I751" s="19">
        <v>1</v>
      </c>
      <c r="J751" s="18" t="s">
        <v>1589</v>
      </c>
      <c r="K751" s="19" t="s">
        <v>1590</v>
      </c>
      <c r="L751" s="14" t="s">
        <v>281</v>
      </c>
      <c r="M751" s="49" t="str">
        <f>+VLOOKUP(C751,'[1]Table 1'!$B:$B,1,0)</f>
        <v>4600022667-001-03350-202ES-00012</v>
      </c>
    </row>
    <row r="752" spans="1:13" ht="13.5" hidden="1" customHeight="1">
      <c r="A752" s="14">
        <f t="shared" si="10"/>
        <v>745</v>
      </c>
      <c r="B752" s="15" t="s">
        <v>1621</v>
      </c>
      <c r="C752" s="15" t="s">
        <v>1622</v>
      </c>
      <c r="D752" s="2" t="s">
        <v>1623</v>
      </c>
      <c r="E752" s="16" t="s">
        <v>335</v>
      </c>
      <c r="F752" s="17">
        <v>45345</v>
      </c>
      <c r="G752" s="18" t="s">
        <v>14</v>
      </c>
      <c r="H752" s="18" t="s">
        <v>36</v>
      </c>
      <c r="I752" s="19">
        <v>1</v>
      </c>
      <c r="J752" s="18" t="s">
        <v>1589</v>
      </c>
      <c r="K752" s="19" t="s">
        <v>1590</v>
      </c>
      <c r="L752" s="14" t="s">
        <v>281</v>
      </c>
      <c r="M752" s="49" t="str">
        <f>+VLOOKUP(C752,'[1]Table 1'!$B:$B,1,0)</f>
        <v>4600022667-001-03350-202ES-00013</v>
      </c>
    </row>
    <row r="753" spans="1:13" ht="13.5" hidden="1" customHeight="1">
      <c r="A753" s="14">
        <f t="shared" si="10"/>
        <v>746</v>
      </c>
      <c r="B753" s="15" t="s">
        <v>1624</v>
      </c>
      <c r="C753" s="15" t="s">
        <v>1625</v>
      </c>
      <c r="D753" s="2" t="s">
        <v>1626</v>
      </c>
      <c r="E753" s="16">
        <v>0</v>
      </c>
      <c r="F753" s="17">
        <v>45345</v>
      </c>
      <c r="G753" s="18" t="s">
        <v>14</v>
      </c>
      <c r="H753" s="18" t="s">
        <v>36</v>
      </c>
      <c r="I753" s="19">
        <v>1</v>
      </c>
      <c r="J753" s="18" t="s">
        <v>1589</v>
      </c>
      <c r="K753" s="19" t="s">
        <v>1590</v>
      </c>
      <c r="L753" s="14" t="s">
        <v>281</v>
      </c>
      <c r="M753" s="49" t="str">
        <f>+VLOOKUP(C753,'[1]Table 1'!$B:$B,1,0)</f>
        <v>4600022667-001-03350-205ES-00001</v>
      </c>
    </row>
    <row r="754" spans="1:13" ht="13.5" hidden="1" customHeight="1">
      <c r="A754" s="14">
        <f t="shared" si="10"/>
        <v>747</v>
      </c>
      <c r="B754" s="15" t="s">
        <v>1627</v>
      </c>
      <c r="C754" s="15" t="s">
        <v>1628</v>
      </c>
      <c r="D754" s="2" t="s">
        <v>1629</v>
      </c>
      <c r="E754" s="16" t="s">
        <v>335</v>
      </c>
      <c r="F754" s="17">
        <v>45345</v>
      </c>
      <c r="G754" s="18" t="s">
        <v>14</v>
      </c>
      <c r="H754" s="18" t="s">
        <v>36</v>
      </c>
      <c r="I754" s="19">
        <v>1</v>
      </c>
      <c r="J754" s="18" t="s">
        <v>1589</v>
      </c>
      <c r="K754" s="19" t="s">
        <v>1590</v>
      </c>
      <c r="L754" s="14" t="s">
        <v>281</v>
      </c>
      <c r="M754" s="49" t="str">
        <f>+VLOOKUP(C754,'[1]Table 1'!$B:$B,1,0)</f>
        <v>4600022667-001-03350-205ES-00002</v>
      </c>
    </row>
    <row r="755" spans="1:13" ht="13.5" hidden="1" customHeight="1">
      <c r="A755" s="14">
        <f t="shared" si="10"/>
        <v>748</v>
      </c>
      <c r="B755" s="15" t="s">
        <v>1630</v>
      </c>
      <c r="C755" s="15" t="s">
        <v>1631</v>
      </c>
      <c r="D755" s="2" t="s">
        <v>1632</v>
      </c>
      <c r="E755" s="16">
        <v>1</v>
      </c>
      <c r="F755" s="17">
        <v>45345</v>
      </c>
      <c r="G755" s="18" t="s">
        <v>14</v>
      </c>
      <c r="H755" s="18" t="s">
        <v>36</v>
      </c>
      <c r="I755" s="19">
        <v>1</v>
      </c>
      <c r="J755" s="18" t="s">
        <v>1589</v>
      </c>
      <c r="K755" s="19" t="s">
        <v>1590</v>
      </c>
      <c r="L755" s="14" t="s">
        <v>281</v>
      </c>
      <c r="M755" s="49" t="str">
        <f>+VLOOKUP(C755,'[1]Table 1'!$B:$B,1,0)</f>
        <v>4600022667-001-03350-205ES-00003</v>
      </c>
    </row>
    <row r="756" spans="1:13" ht="13.5" hidden="1" customHeight="1">
      <c r="A756" s="14">
        <f t="shared" si="10"/>
        <v>749</v>
      </c>
      <c r="B756" s="15" t="s">
        <v>1633</v>
      </c>
      <c r="C756" s="15" t="s">
        <v>1634</v>
      </c>
      <c r="D756" s="2" t="s">
        <v>1635</v>
      </c>
      <c r="E756" s="16" t="s">
        <v>335</v>
      </c>
      <c r="F756" s="17">
        <v>45345</v>
      </c>
      <c r="G756" s="18" t="s">
        <v>14</v>
      </c>
      <c r="H756" s="18" t="s">
        <v>36</v>
      </c>
      <c r="I756" s="19">
        <v>1</v>
      </c>
      <c r="J756" s="18" t="s">
        <v>1589</v>
      </c>
      <c r="K756" s="19" t="s">
        <v>1590</v>
      </c>
      <c r="L756" s="14" t="s">
        <v>281</v>
      </c>
      <c r="M756" s="49" t="str">
        <f>+VLOOKUP(C756,'[1]Table 1'!$B:$B,1,0)</f>
        <v>4600022667-001-03350-205ES-00004</v>
      </c>
    </row>
    <row r="757" spans="1:13" ht="13.5" hidden="1" customHeight="1">
      <c r="A757" s="14">
        <f t="shared" si="10"/>
        <v>750</v>
      </c>
      <c r="B757" s="15" t="s">
        <v>1636</v>
      </c>
      <c r="C757" s="15" t="s">
        <v>1637</v>
      </c>
      <c r="D757" s="2" t="s">
        <v>1638</v>
      </c>
      <c r="E757" s="16">
        <v>0</v>
      </c>
      <c r="F757" s="17">
        <v>45345</v>
      </c>
      <c r="G757" s="18" t="s">
        <v>14</v>
      </c>
      <c r="H757" s="18" t="s">
        <v>36</v>
      </c>
      <c r="I757" s="19">
        <v>1</v>
      </c>
      <c r="J757" s="18" t="s">
        <v>1589</v>
      </c>
      <c r="K757" s="19" t="s">
        <v>1590</v>
      </c>
      <c r="L757" s="14" t="s">
        <v>281</v>
      </c>
      <c r="M757" s="49" t="str">
        <f>+VLOOKUP(C757,'[1]Table 1'!$B:$B,1,0)</f>
        <v>4600022667-001-03350-205ES-00005</v>
      </c>
    </row>
    <row r="758" spans="1:13" ht="13.5" hidden="1" customHeight="1">
      <c r="A758" s="14">
        <f t="shared" si="10"/>
        <v>751</v>
      </c>
      <c r="B758" s="15" t="s">
        <v>1639</v>
      </c>
      <c r="C758" s="15" t="s">
        <v>1640</v>
      </c>
      <c r="D758" s="2" t="s">
        <v>1641</v>
      </c>
      <c r="E758" s="16">
        <v>0</v>
      </c>
      <c r="F758" s="17">
        <v>45345</v>
      </c>
      <c r="G758" s="18" t="s">
        <v>14</v>
      </c>
      <c r="H758" s="18" t="s">
        <v>36</v>
      </c>
      <c r="I758" s="19">
        <v>1</v>
      </c>
      <c r="J758" s="18" t="s">
        <v>1589</v>
      </c>
      <c r="K758" s="19" t="s">
        <v>1590</v>
      </c>
      <c r="L758" s="14" t="s">
        <v>281</v>
      </c>
      <c r="M758" s="49" t="str">
        <f>+VLOOKUP(C758,'[1]Table 1'!$B:$B,1,0)</f>
        <v>4600022667-001-03350-205ES-00006</v>
      </c>
    </row>
    <row r="759" spans="1:13" ht="13.5" hidden="1" customHeight="1">
      <c r="A759" s="14">
        <f t="shared" si="10"/>
        <v>752</v>
      </c>
      <c r="B759" s="15" t="s">
        <v>1642</v>
      </c>
      <c r="C759" s="15" t="s">
        <v>1643</v>
      </c>
      <c r="D759" s="2" t="s">
        <v>1644</v>
      </c>
      <c r="E759" s="16">
        <v>0</v>
      </c>
      <c r="F759" s="17">
        <v>45345</v>
      </c>
      <c r="G759" s="18" t="s">
        <v>14</v>
      </c>
      <c r="H759" s="18" t="s">
        <v>36</v>
      </c>
      <c r="I759" s="19">
        <v>1</v>
      </c>
      <c r="J759" s="18" t="s">
        <v>1589</v>
      </c>
      <c r="K759" s="19" t="s">
        <v>1590</v>
      </c>
      <c r="L759" s="14" t="s">
        <v>281</v>
      </c>
      <c r="M759" s="49" t="str">
        <f>+VLOOKUP(C759,'[1]Table 1'!$B:$B,1,0)</f>
        <v>4600022667-001-03350-205ES-00007</v>
      </c>
    </row>
    <row r="760" spans="1:13" ht="13.5" hidden="1" customHeight="1">
      <c r="A760" s="14">
        <f t="shared" si="10"/>
        <v>753</v>
      </c>
      <c r="B760" s="15" t="s">
        <v>1645</v>
      </c>
      <c r="C760" s="15" t="s">
        <v>1646</v>
      </c>
      <c r="D760" s="2" t="s">
        <v>1647</v>
      </c>
      <c r="E760" s="16">
        <v>0</v>
      </c>
      <c r="F760" s="17">
        <v>45345</v>
      </c>
      <c r="G760" s="18" t="s">
        <v>14</v>
      </c>
      <c r="H760" s="18" t="s">
        <v>36</v>
      </c>
      <c r="I760" s="19">
        <v>1</v>
      </c>
      <c r="J760" s="18" t="s">
        <v>1589</v>
      </c>
      <c r="K760" s="19" t="s">
        <v>1590</v>
      </c>
      <c r="L760" s="14" t="s">
        <v>281</v>
      </c>
      <c r="M760" s="49" t="str">
        <f>+VLOOKUP(C760,'[1]Table 1'!$B:$B,1,0)</f>
        <v>4600022667-001-03350-205ES-00008</v>
      </c>
    </row>
    <row r="761" spans="1:13" ht="13.5" hidden="1" customHeight="1">
      <c r="A761" s="14">
        <f t="shared" si="10"/>
        <v>754</v>
      </c>
      <c r="B761" s="15" t="s">
        <v>1648</v>
      </c>
      <c r="C761" s="15" t="s">
        <v>1649</v>
      </c>
      <c r="D761" s="2" t="s">
        <v>1650</v>
      </c>
      <c r="E761" s="16">
        <v>0</v>
      </c>
      <c r="F761" s="17">
        <v>45345</v>
      </c>
      <c r="G761" s="18" t="s">
        <v>14</v>
      </c>
      <c r="H761" s="18" t="s">
        <v>36</v>
      </c>
      <c r="I761" s="19">
        <v>1</v>
      </c>
      <c r="J761" s="18" t="s">
        <v>1589</v>
      </c>
      <c r="K761" s="19" t="s">
        <v>1590</v>
      </c>
      <c r="L761" s="14" t="s">
        <v>281</v>
      </c>
      <c r="M761" s="49" t="str">
        <f>+VLOOKUP(C761,'[1]Table 1'!$B:$B,1,0)</f>
        <v>4600022667-001-03350-205ES-00009</v>
      </c>
    </row>
    <row r="762" spans="1:13" ht="13.5" hidden="1" customHeight="1">
      <c r="A762" s="14">
        <f t="shared" si="10"/>
        <v>755</v>
      </c>
      <c r="B762" s="15" t="s">
        <v>1651</v>
      </c>
      <c r="C762" s="15" t="s">
        <v>1652</v>
      </c>
      <c r="D762" s="2" t="s">
        <v>1653</v>
      </c>
      <c r="E762" s="16">
        <v>0</v>
      </c>
      <c r="F762" s="17">
        <v>45345</v>
      </c>
      <c r="G762" s="18" t="s">
        <v>14</v>
      </c>
      <c r="H762" s="18" t="s">
        <v>36</v>
      </c>
      <c r="I762" s="19">
        <v>1</v>
      </c>
      <c r="J762" s="18" t="s">
        <v>1589</v>
      </c>
      <c r="K762" s="19" t="s">
        <v>1590</v>
      </c>
      <c r="L762" s="14" t="s">
        <v>281</v>
      </c>
      <c r="M762" s="49" t="str">
        <f>+VLOOKUP(C762,'[1]Table 1'!$B:$B,1,0)</f>
        <v>4600022667-001-03350-205ES-00010</v>
      </c>
    </row>
    <row r="763" spans="1:13" ht="13.5" hidden="1" customHeight="1">
      <c r="A763" s="14">
        <f t="shared" si="10"/>
        <v>756</v>
      </c>
      <c r="B763" s="15" t="s">
        <v>1654</v>
      </c>
      <c r="C763" s="15" t="s">
        <v>1655</v>
      </c>
      <c r="D763" s="2" t="s">
        <v>1656</v>
      </c>
      <c r="E763" s="16" t="s">
        <v>335</v>
      </c>
      <c r="F763" s="17">
        <v>45345</v>
      </c>
      <c r="G763" s="18" t="s">
        <v>14</v>
      </c>
      <c r="H763" s="18" t="s">
        <v>36</v>
      </c>
      <c r="I763" s="19">
        <v>1</v>
      </c>
      <c r="J763" s="18" t="s">
        <v>1589</v>
      </c>
      <c r="K763" s="19" t="s">
        <v>1590</v>
      </c>
      <c r="L763" s="14" t="s">
        <v>281</v>
      </c>
      <c r="M763" s="49" t="str">
        <f>+VLOOKUP(C763,'[1]Table 1'!$B:$B,1,0)</f>
        <v>4600022667-001-03350-205ES-00011</v>
      </c>
    </row>
    <row r="764" spans="1:13" ht="13.5" hidden="1" customHeight="1">
      <c r="A764" s="14">
        <f t="shared" si="10"/>
        <v>757</v>
      </c>
      <c r="B764" s="15" t="s">
        <v>1657</v>
      </c>
      <c r="C764" s="15" t="s">
        <v>1658</v>
      </c>
      <c r="D764" s="2" t="s">
        <v>1659</v>
      </c>
      <c r="E764" s="16" t="s">
        <v>335</v>
      </c>
      <c r="F764" s="17">
        <v>45345</v>
      </c>
      <c r="G764" s="18" t="s">
        <v>14</v>
      </c>
      <c r="H764" s="18" t="s">
        <v>36</v>
      </c>
      <c r="I764" s="19">
        <v>1</v>
      </c>
      <c r="J764" s="18" t="s">
        <v>1589</v>
      </c>
      <c r="K764" s="19" t="s">
        <v>1590</v>
      </c>
      <c r="L764" s="14" t="s">
        <v>281</v>
      </c>
      <c r="M764" s="49" t="str">
        <f>+VLOOKUP(C764,'[1]Table 1'!$B:$B,1,0)</f>
        <v>4600022667-001-03350-205ES-00012</v>
      </c>
    </row>
    <row r="765" spans="1:13" ht="13.5" hidden="1" customHeight="1">
      <c r="A765" s="14">
        <f t="shared" si="10"/>
        <v>758</v>
      </c>
      <c r="B765" s="15" t="s">
        <v>1660</v>
      </c>
      <c r="C765" s="15" t="s">
        <v>1661</v>
      </c>
      <c r="D765" s="2" t="s">
        <v>1662</v>
      </c>
      <c r="E765" s="16" t="s">
        <v>335</v>
      </c>
      <c r="F765" s="17">
        <v>45345</v>
      </c>
      <c r="G765" s="18" t="s">
        <v>14</v>
      </c>
      <c r="H765" s="18" t="s">
        <v>36</v>
      </c>
      <c r="I765" s="19">
        <v>1</v>
      </c>
      <c r="J765" s="18" t="s">
        <v>1589</v>
      </c>
      <c r="K765" s="19" t="s">
        <v>1590</v>
      </c>
      <c r="L765" s="14" t="s">
        <v>281</v>
      </c>
      <c r="M765" s="49" t="str">
        <f>+VLOOKUP(C765,'[1]Table 1'!$B:$B,1,0)</f>
        <v>4600022667-001-03350-205ES-00013</v>
      </c>
    </row>
    <row r="766" spans="1:13" ht="13.5" hidden="1" customHeight="1">
      <c r="A766" s="14">
        <f t="shared" si="10"/>
        <v>759</v>
      </c>
      <c r="B766" s="15" t="s">
        <v>1663</v>
      </c>
      <c r="C766" s="15" t="s">
        <v>1664</v>
      </c>
      <c r="D766" s="2" t="s">
        <v>1665</v>
      </c>
      <c r="E766" s="16" t="s">
        <v>335</v>
      </c>
      <c r="F766" s="17">
        <v>45345</v>
      </c>
      <c r="G766" s="18" t="s">
        <v>14</v>
      </c>
      <c r="H766" s="18" t="s">
        <v>36</v>
      </c>
      <c r="I766" s="19">
        <v>1</v>
      </c>
      <c r="J766" s="18" t="s">
        <v>1589</v>
      </c>
      <c r="K766" s="19" t="s">
        <v>1590</v>
      </c>
      <c r="L766" s="14" t="s">
        <v>281</v>
      </c>
      <c r="M766" s="49" t="str">
        <f>+VLOOKUP(C766,'[1]Table 1'!$B:$B,1,0)</f>
        <v>4600022667-001-03350-205ES-00014</v>
      </c>
    </row>
    <row r="767" spans="1:13" ht="13.5" hidden="1" customHeight="1">
      <c r="A767" s="14">
        <f t="shared" ref="A767:A830" si="11">ROW()-7</f>
        <v>760</v>
      </c>
      <c r="B767" s="15" t="s">
        <v>1666</v>
      </c>
      <c r="C767" s="15" t="s">
        <v>1667</v>
      </c>
      <c r="D767" s="2" t="s">
        <v>1668</v>
      </c>
      <c r="E767" s="16" t="s">
        <v>335</v>
      </c>
      <c r="F767" s="17">
        <v>45345</v>
      </c>
      <c r="G767" s="18" t="s">
        <v>14</v>
      </c>
      <c r="H767" s="18" t="s">
        <v>36</v>
      </c>
      <c r="I767" s="19">
        <v>1</v>
      </c>
      <c r="J767" s="18" t="s">
        <v>1589</v>
      </c>
      <c r="K767" s="19" t="s">
        <v>1590</v>
      </c>
      <c r="L767" s="14" t="s">
        <v>281</v>
      </c>
      <c r="M767" s="49" t="str">
        <f>+VLOOKUP(C767,'[1]Table 1'!$B:$B,1,0)</f>
        <v>4600022667-001-03350-205ES-00015</v>
      </c>
    </row>
    <row r="768" spans="1:13" ht="13.5" hidden="1" customHeight="1">
      <c r="A768" s="14">
        <f t="shared" si="11"/>
        <v>761</v>
      </c>
      <c r="B768" s="15" t="s">
        <v>1669</v>
      </c>
      <c r="C768" s="15" t="s">
        <v>1670</v>
      </c>
      <c r="D768" s="2" t="s">
        <v>1671</v>
      </c>
      <c r="E768" s="16" t="s">
        <v>335</v>
      </c>
      <c r="F768" s="17">
        <v>45345</v>
      </c>
      <c r="G768" s="18" t="s">
        <v>14</v>
      </c>
      <c r="H768" s="18" t="s">
        <v>36</v>
      </c>
      <c r="I768" s="19">
        <v>1</v>
      </c>
      <c r="J768" s="18" t="s">
        <v>1589</v>
      </c>
      <c r="K768" s="19" t="s">
        <v>1590</v>
      </c>
      <c r="L768" s="14" t="s">
        <v>281</v>
      </c>
      <c r="M768" s="49" t="str">
        <f>+VLOOKUP(C768,'[1]Table 1'!$B:$B,1,0)</f>
        <v>4600022667-001-03350-205ES-00016</v>
      </c>
    </row>
    <row r="769" spans="1:13" ht="13.5" hidden="1" customHeight="1">
      <c r="A769" s="14">
        <f t="shared" si="11"/>
        <v>762</v>
      </c>
      <c r="B769" s="15" t="s">
        <v>1672</v>
      </c>
      <c r="C769" s="15" t="s">
        <v>1673</v>
      </c>
      <c r="D769" s="2" t="s">
        <v>1674</v>
      </c>
      <c r="E769" s="16" t="s">
        <v>335</v>
      </c>
      <c r="F769" s="17">
        <v>45345</v>
      </c>
      <c r="G769" s="18" t="s">
        <v>14</v>
      </c>
      <c r="H769" s="18" t="s">
        <v>36</v>
      </c>
      <c r="I769" s="19">
        <v>1</v>
      </c>
      <c r="J769" s="18" t="s">
        <v>1589</v>
      </c>
      <c r="K769" s="19" t="s">
        <v>1590</v>
      </c>
      <c r="L769" s="14" t="s">
        <v>281</v>
      </c>
      <c r="M769" s="49" t="str">
        <f>+VLOOKUP(C769,'[1]Table 1'!$B:$B,1,0)</f>
        <v>4600022667-001-03350-205ES-00017</v>
      </c>
    </row>
    <row r="770" spans="1:13" ht="13.5" hidden="1" customHeight="1">
      <c r="A770" s="14">
        <f t="shared" si="11"/>
        <v>763</v>
      </c>
      <c r="B770" s="15" t="s">
        <v>1675</v>
      </c>
      <c r="C770" s="15" t="s">
        <v>1676</v>
      </c>
      <c r="D770" s="2" t="s">
        <v>1677</v>
      </c>
      <c r="E770" s="16" t="s">
        <v>335</v>
      </c>
      <c r="F770" s="17">
        <v>45345</v>
      </c>
      <c r="G770" s="18" t="s">
        <v>14</v>
      </c>
      <c r="H770" s="18" t="s">
        <v>36</v>
      </c>
      <c r="I770" s="19">
        <v>1</v>
      </c>
      <c r="J770" s="18" t="s">
        <v>1589</v>
      </c>
      <c r="K770" s="19" t="s">
        <v>1590</v>
      </c>
      <c r="L770" s="14" t="s">
        <v>281</v>
      </c>
      <c r="M770" s="49" t="str">
        <f>+VLOOKUP(C770,'[1]Table 1'!$B:$B,1,0)</f>
        <v>4600022667-001-03350-205ES-00023</v>
      </c>
    </row>
    <row r="771" spans="1:13" ht="13.5" hidden="1" customHeight="1">
      <c r="A771" s="14">
        <f t="shared" si="11"/>
        <v>764</v>
      </c>
      <c r="B771" s="15" t="s">
        <v>1678</v>
      </c>
      <c r="C771" s="15" t="s">
        <v>1679</v>
      </c>
      <c r="D771" s="2" t="s">
        <v>1680</v>
      </c>
      <c r="E771" s="16">
        <v>0</v>
      </c>
      <c r="F771" s="17">
        <v>45345</v>
      </c>
      <c r="G771" s="18" t="s">
        <v>14</v>
      </c>
      <c r="H771" s="18" t="s">
        <v>36</v>
      </c>
      <c r="I771" s="19">
        <v>1</v>
      </c>
      <c r="J771" s="18" t="s">
        <v>1589</v>
      </c>
      <c r="K771" s="19" t="s">
        <v>1590</v>
      </c>
      <c r="L771" s="14" t="s">
        <v>281</v>
      </c>
      <c r="M771" s="49" t="str">
        <f>+VLOOKUP(C771,'[1]Table 1'!$B:$B,1,0)</f>
        <v>4600022667-001-03350-205ES-00024</v>
      </c>
    </row>
    <row r="772" spans="1:13" ht="13.5" hidden="1" customHeight="1">
      <c r="A772" s="14">
        <f t="shared" si="11"/>
        <v>765</v>
      </c>
      <c r="B772" s="15" t="s">
        <v>1681</v>
      </c>
      <c r="C772" s="15" t="s">
        <v>1682</v>
      </c>
      <c r="D772" s="2" t="s">
        <v>1683</v>
      </c>
      <c r="E772" s="16" t="s">
        <v>335</v>
      </c>
      <c r="F772" s="17">
        <v>45345</v>
      </c>
      <c r="G772" s="18" t="s">
        <v>14</v>
      </c>
      <c r="H772" s="18" t="s">
        <v>36</v>
      </c>
      <c r="I772" s="19">
        <v>1</v>
      </c>
      <c r="J772" s="18" t="s">
        <v>1589</v>
      </c>
      <c r="K772" s="19" t="s">
        <v>1590</v>
      </c>
      <c r="L772" s="14" t="s">
        <v>281</v>
      </c>
      <c r="M772" s="49" t="str">
        <f>+VLOOKUP(C772,'[1]Table 1'!$B:$B,1,0)</f>
        <v>4600022667-001-03350-302ES-00001</v>
      </c>
    </row>
    <row r="773" spans="1:13" ht="13.5" hidden="1" customHeight="1">
      <c r="A773" s="14">
        <f t="shared" si="11"/>
        <v>766</v>
      </c>
      <c r="B773" s="15" t="s">
        <v>1684</v>
      </c>
      <c r="C773" s="15" t="s">
        <v>1685</v>
      </c>
      <c r="D773" s="2" t="s">
        <v>1686</v>
      </c>
      <c r="E773" s="16" t="s">
        <v>335</v>
      </c>
      <c r="F773" s="17">
        <v>45345</v>
      </c>
      <c r="G773" s="18" t="s">
        <v>14</v>
      </c>
      <c r="H773" s="18" t="s">
        <v>36</v>
      </c>
      <c r="I773" s="19">
        <v>1</v>
      </c>
      <c r="J773" s="18" t="s">
        <v>1589</v>
      </c>
      <c r="K773" s="19" t="s">
        <v>1590</v>
      </c>
      <c r="L773" s="14" t="s">
        <v>281</v>
      </c>
      <c r="M773" s="49" t="str">
        <f>+VLOOKUP(C773,'[1]Table 1'!$B:$B,1,0)</f>
        <v>4600022667-001-03350-302ES-00002</v>
      </c>
    </row>
    <row r="774" spans="1:13" ht="13.5" hidden="1" customHeight="1">
      <c r="A774" s="14">
        <f t="shared" si="11"/>
        <v>767</v>
      </c>
      <c r="B774" s="15" t="s">
        <v>1687</v>
      </c>
      <c r="C774" s="15" t="s">
        <v>1688</v>
      </c>
      <c r="D774" s="2" t="s">
        <v>1689</v>
      </c>
      <c r="E774" s="16" t="s">
        <v>335</v>
      </c>
      <c r="F774" s="17">
        <v>45345</v>
      </c>
      <c r="G774" s="18" t="s">
        <v>14</v>
      </c>
      <c r="H774" s="18" t="s">
        <v>36</v>
      </c>
      <c r="I774" s="19">
        <v>1</v>
      </c>
      <c r="J774" s="18" t="s">
        <v>1589</v>
      </c>
      <c r="K774" s="19" t="s">
        <v>1590</v>
      </c>
      <c r="L774" s="14" t="s">
        <v>281</v>
      </c>
      <c r="M774" s="49" t="str">
        <f>+VLOOKUP(C774,'[1]Table 1'!$B:$B,1,0)</f>
        <v>4600022667-001-03350-302ES-00003</v>
      </c>
    </row>
    <row r="775" spans="1:13" ht="13.5" hidden="1" customHeight="1">
      <c r="A775" s="14">
        <f t="shared" si="11"/>
        <v>768</v>
      </c>
      <c r="B775" s="15" t="s">
        <v>1690</v>
      </c>
      <c r="C775" s="15" t="s">
        <v>1691</v>
      </c>
      <c r="D775" s="2" t="s">
        <v>1692</v>
      </c>
      <c r="E775" s="16" t="s">
        <v>335</v>
      </c>
      <c r="F775" s="17">
        <v>45345</v>
      </c>
      <c r="G775" s="18" t="s">
        <v>14</v>
      </c>
      <c r="H775" s="18" t="s">
        <v>36</v>
      </c>
      <c r="I775" s="19">
        <v>1</v>
      </c>
      <c r="J775" s="18" t="s">
        <v>1589</v>
      </c>
      <c r="K775" s="19" t="s">
        <v>1590</v>
      </c>
      <c r="L775" s="14" t="s">
        <v>281</v>
      </c>
      <c r="M775" s="49" t="str">
        <f>+VLOOKUP(C775,'[1]Table 1'!$B:$B,1,0)</f>
        <v>4600022667-001-03350-302ES-00004</v>
      </c>
    </row>
    <row r="776" spans="1:13" ht="13.5" hidden="1" customHeight="1">
      <c r="A776" s="14">
        <f t="shared" si="11"/>
        <v>769</v>
      </c>
      <c r="B776" s="15" t="s">
        <v>1693</v>
      </c>
      <c r="C776" s="15" t="s">
        <v>1694</v>
      </c>
      <c r="D776" s="2" t="s">
        <v>1695</v>
      </c>
      <c r="E776" s="16" t="s">
        <v>335</v>
      </c>
      <c r="F776" s="17">
        <v>45345</v>
      </c>
      <c r="G776" s="18" t="s">
        <v>14</v>
      </c>
      <c r="H776" s="18" t="s">
        <v>36</v>
      </c>
      <c r="I776" s="19">
        <v>1</v>
      </c>
      <c r="J776" s="18" t="s">
        <v>1589</v>
      </c>
      <c r="K776" s="19" t="s">
        <v>1590</v>
      </c>
      <c r="L776" s="14" t="s">
        <v>281</v>
      </c>
      <c r="M776" s="49" t="str">
        <f>+VLOOKUP(C776,'[1]Table 1'!$B:$B,1,0)</f>
        <v>4600022667-001-03350-302ES-00005</v>
      </c>
    </row>
    <row r="777" spans="1:13" ht="13.5" hidden="1" customHeight="1">
      <c r="A777" s="14">
        <f t="shared" si="11"/>
        <v>770</v>
      </c>
      <c r="B777" s="15" t="s">
        <v>1696</v>
      </c>
      <c r="C777" s="15" t="s">
        <v>1697</v>
      </c>
      <c r="D777" s="2" t="s">
        <v>1698</v>
      </c>
      <c r="E777" s="16" t="s">
        <v>335</v>
      </c>
      <c r="F777" s="17">
        <v>45345</v>
      </c>
      <c r="G777" s="18" t="s">
        <v>14</v>
      </c>
      <c r="H777" s="18" t="s">
        <v>36</v>
      </c>
      <c r="I777" s="19">
        <v>1</v>
      </c>
      <c r="J777" s="18" t="s">
        <v>1589</v>
      </c>
      <c r="K777" s="19" t="s">
        <v>1590</v>
      </c>
      <c r="L777" s="14" t="s">
        <v>281</v>
      </c>
      <c r="M777" s="49" t="str">
        <f>+VLOOKUP(C777,'[1]Table 1'!$B:$B,1,0)</f>
        <v>4600022667-001-03350-302ES-00006</v>
      </c>
    </row>
    <row r="778" spans="1:13" ht="13.5" hidden="1" customHeight="1">
      <c r="A778" s="14">
        <f t="shared" si="11"/>
        <v>771</v>
      </c>
      <c r="B778" s="15" t="s">
        <v>1699</v>
      </c>
      <c r="C778" s="15" t="s">
        <v>1700</v>
      </c>
      <c r="D778" s="2" t="s">
        <v>1701</v>
      </c>
      <c r="E778" s="16">
        <v>0</v>
      </c>
      <c r="F778" s="17">
        <v>45345</v>
      </c>
      <c r="G778" s="18" t="s">
        <v>14</v>
      </c>
      <c r="H778" s="18" t="s">
        <v>36</v>
      </c>
      <c r="I778" s="19">
        <v>1</v>
      </c>
      <c r="J778" s="18" t="s">
        <v>1589</v>
      </c>
      <c r="K778" s="19" t="s">
        <v>1590</v>
      </c>
      <c r="L778" s="14" t="s">
        <v>281</v>
      </c>
      <c r="M778" s="49" t="str">
        <f>+VLOOKUP(C778,'[1]Table 1'!$B:$B,1,0)</f>
        <v>4600022667-001-03350-302ES-00007</v>
      </c>
    </row>
    <row r="779" spans="1:13" ht="13.5" hidden="1" customHeight="1">
      <c r="A779" s="14">
        <f t="shared" si="11"/>
        <v>772</v>
      </c>
      <c r="B779" s="15" t="s">
        <v>1702</v>
      </c>
      <c r="C779" s="15" t="s">
        <v>1703</v>
      </c>
      <c r="D779" s="2" t="s">
        <v>1704</v>
      </c>
      <c r="E779" s="16">
        <v>0</v>
      </c>
      <c r="F779" s="17">
        <v>45345</v>
      </c>
      <c r="G779" s="18" t="s">
        <v>14</v>
      </c>
      <c r="H779" s="18" t="s">
        <v>36</v>
      </c>
      <c r="I779" s="19">
        <v>1</v>
      </c>
      <c r="J779" s="18" t="s">
        <v>1589</v>
      </c>
      <c r="K779" s="19" t="s">
        <v>1590</v>
      </c>
      <c r="L779" s="14" t="s">
        <v>281</v>
      </c>
      <c r="M779" s="49" t="str">
        <f>+VLOOKUP(C779,'[1]Table 1'!$B:$B,1,0)</f>
        <v>4600022667-001-03350-302ES-00008</v>
      </c>
    </row>
    <row r="780" spans="1:13" ht="13.5" hidden="1" customHeight="1">
      <c r="A780" s="14">
        <f t="shared" si="11"/>
        <v>773</v>
      </c>
      <c r="B780" s="15" t="s">
        <v>1705</v>
      </c>
      <c r="C780" s="15" t="s">
        <v>1706</v>
      </c>
      <c r="D780" s="2" t="s">
        <v>1707</v>
      </c>
      <c r="E780" s="16">
        <v>0</v>
      </c>
      <c r="F780" s="17">
        <v>45345</v>
      </c>
      <c r="G780" s="18" t="s">
        <v>14</v>
      </c>
      <c r="H780" s="18" t="s">
        <v>36</v>
      </c>
      <c r="I780" s="19">
        <v>1</v>
      </c>
      <c r="J780" s="18" t="s">
        <v>1589</v>
      </c>
      <c r="K780" s="19" t="s">
        <v>1590</v>
      </c>
      <c r="L780" s="14" t="s">
        <v>281</v>
      </c>
      <c r="M780" s="49" t="str">
        <f>+VLOOKUP(C780,'[1]Table 1'!$B:$B,1,0)</f>
        <v>4600022667-001-03350-302ES-00009</v>
      </c>
    </row>
    <row r="781" spans="1:13" ht="13.5" hidden="1" customHeight="1">
      <c r="A781" s="14">
        <f t="shared" si="11"/>
        <v>774</v>
      </c>
      <c r="B781" s="15" t="s">
        <v>1708</v>
      </c>
      <c r="C781" s="15" t="s">
        <v>1709</v>
      </c>
      <c r="D781" s="2" t="s">
        <v>1710</v>
      </c>
      <c r="E781" s="16">
        <v>0</v>
      </c>
      <c r="F781" s="17">
        <v>45345</v>
      </c>
      <c r="G781" s="18" t="s">
        <v>14</v>
      </c>
      <c r="H781" s="18" t="s">
        <v>36</v>
      </c>
      <c r="I781" s="19">
        <v>1</v>
      </c>
      <c r="J781" s="18" t="s">
        <v>1589</v>
      </c>
      <c r="K781" s="19" t="s">
        <v>1590</v>
      </c>
      <c r="L781" s="14" t="s">
        <v>281</v>
      </c>
      <c r="M781" s="49" t="str">
        <f>+VLOOKUP(C781,'[1]Table 1'!$B:$B,1,0)</f>
        <v>4600022667-001-03350-302ES-00010</v>
      </c>
    </row>
    <row r="782" spans="1:13" ht="13.5" hidden="1" customHeight="1">
      <c r="A782" s="14">
        <f t="shared" si="11"/>
        <v>775</v>
      </c>
      <c r="B782" s="15" t="s">
        <v>1711</v>
      </c>
      <c r="C782" s="15" t="s">
        <v>1712</v>
      </c>
      <c r="D782" s="2" t="s">
        <v>1713</v>
      </c>
      <c r="E782" s="16">
        <v>0</v>
      </c>
      <c r="F782" s="17">
        <v>45345</v>
      </c>
      <c r="G782" s="18" t="s">
        <v>14</v>
      </c>
      <c r="H782" s="18" t="s">
        <v>36</v>
      </c>
      <c r="I782" s="19">
        <v>1</v>
      </c>
      <c r="J782" s="18" t="s">
        <v>1589</v>
      </c>
      <c r="K782" s="19" t="s">
        <v>1590</v>
      </c>
      <c r="L782" s="14" t="s">
        <v>281</v>
      </c>
      <c r="M782" s="49" t="str">
        <f>+VLOOKUP(C782,'[1]Table 1'!$B:$B,1,0)</f>
        <v>4600022667-001-03350-302ES-00011</v>
      </c>
    </row>
    <row r="783" spans="1:13" ht="13.5" hidden="1" customHeight="1">
      <c r="A783" s="14">
        <f t="shared" si="11"/>
        <v>776</v>
      </c>
      <c r="B783" s="15" t="s">
        <v>1714</v>
      </c>
      <c r="C783" s="15" t="s">
        <v>1715</v>
      </c>
      <c r="D783" s="2" t="s">
        <v>1716</v>
      </c>
      <c r="E783" s="16">
        <v>0</v>
      </c>
      <c r="F783" s="17">
        <v>45345</v>
      </c>
      <c r="G783" s="18" t="s">
        <v>14</v>
      </c>
      <c r="H783" s="18" t="s">
        <v>36</v>
      </c>
      <c r="I783" s="19">
        <v>1</v>
      </c>
      <c r="J783" s="18" t="s">
        <v>1589</v>
      </c>
      <c r="K783" s="19" t="s">
        <v>1590</v>
      </c>
      <c r="L783" s="14" t="s">
        <v>281</v>
      </c>
      <c r="M783" s="49" t="str">
        <f>+VLOOKUP(C783,'[1]Table 1'!$B:$B,1,0)</f>
        <v>4600022667-001-03350-302ES-00012</v>
      </c>
    </row>
    <row r="784" spans="1:13" ht="13.5" hidden="1" customHeight="1">
      <c r="A784" s="14">
        <f t="shared" si="11"/>
        <v>777</v>
      </c>
      <c r="B784" s="15" t="s">
        <v>1717</v>
      </c>
      <c r="C784" s="15" t="s">
        <v>1718</v>
      </c>
      <c r="D784" s="2" t="s">
        <v>1719</v>
      </c>
      <c r="E784" s="16">
        <v>0</v>
      </c>
      <c r="F784" s="17">
        <v>45345</v>
      </c>
      <c r="G784" s="18" t="s">
        <v>14</v>
      </c>
      <c r="H784" s="18" t="s">
        <v>36</v>
      </c>
      <c r="I784" s="19">
        <v>1</v>
      </c>
      <c r="J784" s="18" t="s">
        <v>1589</v>
      </c>
      <c r="K784" s="19" t="s">
        <v>1590</v>
      </c>
      <c r="L784" s="14" t="s">
        <v>281</v>
      </c>
      <c r="M784" s="49" t="str">
        <f>+VLOOKUP(C784,'[1]Table 1'!$B:$B,1,0)</f>
        <v>4600022667-001-03350-302ES-00013</v>
      </c>
    </row>
    <row r="785" spans="1:13" ht="13.5" hidden="1" customHeight="1">
      <c r="A785" s="14">
        <f t="shared" si="11"/>
        <v>778</v>
      </c>
      <c r="B785" s="15" t="s">
        <v>1720</v>
      </c>
      <c r="C785" s="15" t="s">
        <v>1721</v>
      </c>
      <c r="D785" s="2" t="s">
        <v>1722</v>
      </c>
      <c r="E785" s="16" t="s">
        <v>335</v>
      </c>
      <c r="F785" s="17">
        <v>45345</v>
      </c>
      <c r="G785" s="18" t="s">
        <v>14</v>
      </c>
      <c r="H785" s="18" t="s">
        <v>36</v>
      </c>
      <c r="I785" s="19">
        <v>1</v>
      </c>
      <c r="J785" s="18" t="s">
        <v>1589</v>
      </c>
      <c r="K785" s="19" t="s">
        <v>1590</v>
      </c>
      <c r="L785" s="14" t="s">
        <v>281</v>
      </c>
      <c r="M785" s="49" t="str">
        <f>+VLOOKUP(C785,'[1]Table 1'!$B:$B,1,0)</f>
        <v>4600022667-001-03350-302ES-00014</v>
      </c>
    </row>
    <row r="786" spans="1:13" ht="13.5" hidden="1" customHeight="1">
      <c r="A786" s="14">
        <f t="shared" si="11"/>
        <v>779</v>
      </c>
      <c r="B786" s="15" t="s">
        <v>1723</v>
      </c>
      <c r="C786" s="15" t="s">
        <v>1724</v>
      </c>
      <c r="D786" s="2" t="s">
        <v>1725</v>
      </c>
      <c r="E786" s="16">
        <v>1</v>
      </c>
      <c r="F786" s="17">
        <v>45345</v>
      </c>
      <c r="G786" s="18" t="s">
        <v>8</v>
      </c>
      <c r="H786" s="18" t="s">
        <v>36</v>
      </c>
      <c r="I786" s="19">
        <v>33</v>
      </c>
      <c r="J786" s="18" t="s">
        <v>1589</v>
      </c>
      <c r="K786" s="19" t="s">
        <v>1590</v>
      </c>
      <c r="L786" s="14" t="s">
        <v>281</v>
      </c>
      <c r="M786" s="49" t="str">
        <f>+VLOOKUP(C786,'[1]Table 1'!$B:$B,1,0)</f>
        <v>4600022667-001-03350-ESPES-00001</v>
      </c>
    </row>
    <row r="787" spans="1:13" ht="13.5" hidden="1" customHeight="1">
      <c r="A787" s="14">
        <f t="shared" si="11"/>
        <v>780</v>
      </c>
      <c r="B787" s="15" t="s">
        <v>1726</v>
      </c>
      <c r="C787" s="15" t="s">
        <v>1727</v>
      </c>
      <c r="D787" s="2" t="s">
        <v>1728</v>
      </c>
      <c r="E787" s="16">
        <v>0</v>
      </c>
      <c r="F787" s="17">
        <v>45345</v>
      </c>
      <c r="G787" s="18" t="s">
        <v>8</v>
      </c>
      <c r="H787" s="18" t="s">
        <v>36</v>
      </c>
      <c r="I787" s="19">
        <v>229</v>
      </c>
      <c r="J787" s="18" t="s">
        <v>1589</v>
      </c>
      <c r="K787" s="19" t="s">
        <v>1590</v>
      </c>
      <c r="L787" s="14" t="s">
        <v>281</v>
      </c>
      <c r="M787" s="49" t="str">
        <f>+VLOOKUP(C787,'[1]Table 1'!$B:$B,1,0)</f>
        <v>4600022667-001-03350-ESPES-00002</v>
      </c>
    </row>
    <row r="788" spans="1:13" ht="13.5" hidden="1" customHeight="1">
      <c r="A788" s="14">
        <f t="shared" si="11"/>
        <v>781</v>
      </c>
      <c r="B788" s="15" t="s">
        <v>1729</v>
      </c>
      <c r="C788" s="15" t="s">
        <v>1730</v>
      </c>
      <c r="D788" s="2" t="s">
        <v>1731</v>
      </c>
      <c r="E788" s="16">
        <v>0</v>
      </c>
      <c r="F788" s="17">
        <v>45345</v>
      </c>
      <c r="G788" s="18" t="s">
        <v>600</v>
      </c>
      <c r="H788" s="18" t="s">
        <v>36</v>
      </c>
      <c r="I788" s="19">
        <v>57</v>
      </c>
      <c r="J788" s="18" t="s">
        <v>1589</v>
      </c>
      <c r="K788" s="19" t="s">
        <v>1590</v>
      </c>
      <c r="L788" s="14" t="s">
        <v>281</v>
      </c>
      <c r="M788" s="49" t="str">
        <f>+VLOOKUP(C788,'[1]Table 1'!$B:$B,1,0)</f>
        <v>4600022667-001-03350-MDCES-00001</v>
      </c>
    </row>
    <row r="789" spans="1:13" ht="13.5" hidden="1" customHeight="1">
      <c r="A789" s="14">
        <f t="shared" si="11"/>
        <v>782</v>
      </c>
      <c r="B789" s="15" t="s">
        <v>1732</v>
      </c>
      <c r="C789" s="15" t="s">
        <v>1733</v>
      </c>
      <c r="D789" s="2" t="s">
        <v>1734</v>
      </c>
      <c r="E789" s="16">
        <v>1</v>
      </c>
      <c r="F789" s="17">
        <v>45345</v>
      </c>
      <c r="G789" s="18" t="s">
        <v>600</v>
      </c>
      <c r="H789" s="18" t="s">
        <v>36</v>
      </c>
      <c r="I789" s="19">
        <v>54</v>
      </c>
      <c r="J789" s="18" t="s">
        <v>1589</v>
      </c>
      <c r="K789" s="19" t="s">
        <v>1590</v>
      </c>
      <c r="L789" s="14" t="s">
        <v>281</v>
      </c>
      <c r="M789" s="49" t="str">
        <f>+VLOOKUP(C789,'[1]Table 1'!$B:$B,1,0)</f>
        <v>4600022667-001-03350-MDCES-00002</v>
      </c>
    </row>
    <row r="790" spans="1:13" ht="13.5" hidden="1" customHeight="1">
      <c r="A790" s="14">
        <f t="shared" si="11"/>
        <v>783</v>
      </c>
      <c r="B790" s="15" t="s">
        <v>1735</v>
      </c>
      <c r="C790" s="15" t="s">
        <v>1736</v>
      </c>
      <c r="D790" s="2" t="s">
        <v>1737</v>
      </c>
      <c r="E790" s="16">
        <v>0</v>
      </c>
      <c r="F790" s="17">
        <v>45345</v>
      </c>
      <c r="G790" s="18" t="s">
        <v>600</v>
      </c>
      <c r="H790" s="18" t="s">
        <v>36</v>
      </c>
      <c r="I790" s="19">
        <v>18</v>
      </c>
      <c r="J790" s="18" t="s">
        <v>1589</v>
      </c>
      <c r="K790" s="19" t="s">
        <v>1590</v>
      </c>
      <c r="L790" s="14" t="s">
        <v>281</v>
      </c>
      <c r="M790" s="49" t="str">
        <f>+VLOOKUP(C790,'[1]Table 1'!$B:$B,1,0)</f>
        <v>4600022667-001-03350-MDCES-00003</v>
      </c>
    </row>
    <row r="791" spans="1:13" ht="13.5" hidden="1" customHeight="1">
      <c r="A791" s="14">
        <f t="shared" si="11"/>
        <v>784</v>
      </c>
      <c r="B791" s="15" t="s">
        <v>1738</v>
      </c>
      <c r="C791" s="15" t="s">
        <v>1739</v>
      </c>
      <c r="D791" s="2" t="s">
        <v>1740</v>
      </c>
      <c r="E791" s="16">
        <v>0</v>
      </c>
      <c r="F791" s="17">
        <v>45345</v>
      </c>
      <c r="G791" s="18" t="s">
        <v>600</v>
      </c>
      <c r="H791" s="18" t="s">
        <v>36</v>
      </c>
      <c r="I791" s="19">
        <v>28</v>
      </c>
      <c r="J791" s="18" t="s">
        <v>1589</v>
      </c>
      <c r="K791" s="19" t="s">
        <v>1590</v>
      </c>
      <c r="L791" s="14" t="s">
        <v>281</v>
      </c>
      <c r="M791" s="49" t="str">
        <f>+VLOOKUP(C791,'[1]Table 1'!$B:$B,1,0)</f>
        <v>4600022667-001-03350-MDCES-00004</v>
      </c>
    </row>
    <row r="792" spans="1:13" ht="13.5" hidden="1" customHeight="1">
      <c r="A792" s="14">
        <f t="shared" si="11"/>
        <v>785</v>
      </c>
      <c r="B792" s="15" t="s">
        <v>1741</v>
      </c>
      <c r="C792" s="15" t="s">
        <v>1742</v>
      </c>
      <c r="D792" s="2" t="s">
        <v>1743</v>
      </c>
      <c r="E792" s="16">
        <v>0</v>
      </c>
      <c r="F792" s="17">
        <v>45345</v>
      </c>
      <c r="G792" s="18" t="s">
        <v>600</v>
      </c>
      <c r="H792" s="18" t="s">
        <v>36</v>
      </c>
      <c r="I792" s="19">
        <v>16</v>
      </c>
      <c r="J792" s="18" t="s">
        <v>1589</v>
      </c>
      <c r="K792" s="19" t="s">
        <v>1590</v>
      </c>
      <c r="L792" s="14" t="s">
        <v>281</v>
      </c>
      <c r="M792" s="49" t="str">
        <f>+VLOOKUP(C792,'[1]Table 1'!$B:$B,1,0)</f>
        <v>4600022667-001-03350-MDCES-00005</v>
      </c>
    </row>
    <row r="793" spans="1:13" ht="13.5" hidden="1" customHeight="1">
      <c r="A793" s="14">
        <f t="shared" si="11"/>
        <v>786</v>
      </c>
      <c r="B793" s="15" t="s">
        <v>1744</v>
      </c>
      <c r="C793" s="15" t="s">
        <v>1745</v>
      </c>
      <c r="D793" s="2" t="s">
        <v>1746</v>
      </c>
      <c r="E793" s="16">
        <v>0</v>
      </c>
      <c r="F793" s="17">
        <v>45345</v>
      </c>
      <c r="G793" s="18" t="s">
        <v>600</v>
      </c>
      <c r="H793" s="18" t="s">
        <v>36</v>
      </c>
      <c r="I793" s="19">
        <v>28</v>
      </c>
      <c r="J793" s="18" t="s">
        <v>1589</v>
      </c>
      <c r="K793" s="19" t="s">
        <v>1590</v>
      </c>
      <c r="L793" s="14" t="s">
        <v>281</v>
      </c>
      <c r="M793" s="49" t="str">
        <f>+VLOOKUP(C793,'[1]Table 1'!$B:$B,1,0)</f>
        <v>4600022667-001-03350-MDCES-00006</v>
      </c>
    </row>
    <row r="794" spans="1:13" ht="13.5" hidden="1" customHeight="1">
      <c r="A794" s="14">
        <f t="shared" si="11"/>
        <v>787</v>
      </c>
      <c r="B794" s="15" t="s">
        <v>1747</v>
      </c>
      <c r="C794" s="15" t="s">
        <v>1748</v>
      </c>
      <c r="D794" s="2" t="s">
        <v>1749</v>
      </c>
      <c r="E794" s="16">
        <v>0</v>
      </c>
      <c r="F794" s="17">
        <v>45345</v>
      </c>
      <c r="G794" s="18" t="s">
        <v>600</v>
      </c>
      <c r="H794" s="18" t="s">
        <v>36</v>
      </c>
      <c r="I794" s="19">
        <v>17</v>
      </c>
      <c r="J794" s="18" t="s">
        <v>1589</v>
      </c>
      <c r="K794" s="19" t="s">
        <v>1590</v>
      </c>
      <c r="L794" s="14" t="s">
        <v>281</v>
      </c>
      <c r="M794" s="49" t="str">
        <f>+VLOOKUP(C794,'[1]Table 1'!$B:$B,1,0)</f>
        <v>4600022667-001-03350-MDCES-00007</v>
      </c>
    </row>
    <row r="795" spans="1:13" ht="13.5" hidden="1" customHeight="1">
      <c r="A795" s="14">
        <f t="shared" si="11"/>
        <v>788</v>
      </c>
      <c r="B795" s="15" t="s">
        <v>1750</v>
      </c>
      <c r="C795" s="15" t="s">
        <v>1751</v>
      </c>
      <c r="D795" s="2" t="s">
        <v>1752</v>
      </c>
      <c r="E795" s="16">
        <v>1</v>
      </c>
      <c r="F795" s="17">
        <v>45345</v>
      </c>
      <c r="G795" s="18" t="s">
        <v>600</v>
      </c>
      <c r="H795" s="18" t="s">
        <v>36</v>
      </c>
      <c r="I795" s="19">
        <v>11</v>
      </c>
      <c r="J795" s="18" t="s">
        <v>1753</v>
      </c>
      <c r="K795" s="19" t="s">
        <v>1754</v>
      </c>
      <c r="L795" s="14" t="s">
        <v>281</v>
      </c>
      <c r="M795" s="49" t="str">
        <f>+VLOOKUP(C795,'[1]Table 1'!$B:$B,1,0)</f>
        <v>4600022667-001-03350-MDCHD-00001</v>
      </c>
    </row>
    <row r="796" spans="1:13" ht="13.5" hidden="1" customHeight="1">
      <c r="A796" s="14">
        <f t="shared" si="11"/>
        <v>789</v>
      </c>
      <c r="B796" s="15" t="s">
        <v>1755</v>
      </c>
      <c r="C796" s="15" t="s">
        <v>1756</v>
      </c>
      <c r="D796" s="2" t="s">
        <v>1757</v>
      </c>
      <c r="E796" s="16">
        <v>0</v>
      </c>
      <c r="F796" s="17">
        <v>45345</v>
      </c>
      <c r="G796" s="18" t="s">
        <v>600</v>
      </c>
      <c r="H796" s="18" t="s">
        <v>36</v>
      </c>
      <c r="I796" s="19">
        <v>12</v>
      </c>
      <c r="J796" s="18" t="s">
        <v>1753</v>
      </c>
      <c r="K796" s="19" t="s">
        <v>1754</v>
      </c>
      <c r="L796" s="14" t="s">
        <v>281</v>
      </c>
      <c r="M796" s="49" t="str">
        <f>+VLOOKUP(C796,'[1]Table 1'!$B:$B,1,0)</f>
        <v>4600022667-001-03350-MDCHD-00002</v>
      </c>
    </row>
    <row r="797" spans="1:13" ht="13.5" hidden="1" customHeight="1">
      <c r="A797" s="14">
        <f t="shared" si="11"/>
        <v>790</v>
      </c>
      <c r="B797" s="15" t="s">
        <v>1758</v>
      </c>
      <c r="C797" s="15" t="s">
        <v>1759</v>
      </c>
      <c r="D797" s="2" t="s">
        <v>1760</v>
      </c>
      <c r="E797" s="16">
        <v>0</v>
      </c>
      <c r="F797" s="17">
        <v>45345</v>
      </c>
      <c r="G797" s="18" t="s">
        <v>10</v>
      </c>
      <c r="H797" s="18" t="s">
        <v>36</v>
      </c>
      <c r="I797" s="19">
        <v>86</v>
      </c>
      <c r="J797" s="18" t="s">
        <v>37</v>
      </c>
      <c r="K797" s="19" t="s">
        <v>1761</v>
      </c>
      <c r="L797" s="14" t="s">
        <v>281</v>
      </c>
      <c r="M797" s="49" t="str">
        <f>+VLOOKUP(C797,'[1]Table 1'!$B:$B,1,0)</f>
        <v>4600022667-001-03350-INFIT-00001</v>
      </c>
    </row>
    <row r="798" spans="1:13" ht="13.5" customHeight="1">
      <c r="A798" s="14">
        <f t="shared" si="11"/>
        <v>791</v>
      </c>
      <c r="B798" s="15" t="s">
        <v>1762</v>
      </c>
      <c r="C798" s="15" t="s">
        <v>1763</v>
      </c>
      <c r="D798" s="2" t="s">
        <v>1764</v>
      </c>
      <c r="E798" s="16">
        <v>0</v>
      </c>
      <c r="F798" s="17">
        <v>45345</v>
      </c>
      <c r="G798" s="18" t="s">
        <v>10</v>
      </c>
      <c r="H798" s="18" t="s">
        <v>36</v>
      </c>
      <c r="I798" s="19">
        <v>14</v>
      </c>
      <c r="J798" s="18" t="s">
        <v>37</v>
      </c>
      <c r="K798" s="19" t="s">
        <v>1761</v>
      </c>
      <c r="L798" s="14" t="s">
        <v>281</v>
      </c>
      <c r="M798" s="49" t="e">
        <f>+VLOOKUP(C798,'[1]Table 1'!$B:$B,1,0)</f>
        <v>#N/A</v>
      </c>
    </row>
    <row r="799" spans="1:13" ht="13.5" customHeight="1">
      <c r="A799" s="14">
        <f t="shared" si="11"/>
        <v>792</v>
      </c>
      <c r="B799" s="15" t="s">
        <v>1765</v>
      </c>
      <c r="C799" s="15" t="s">
        <v>1766</v>
      </c>
      <c r="D799" s="2" t="s">
        <v>1767</v>
      </c>
      <c r="E799" s="16">
        <v>0</v>
      </c>
      <c r="F799" s="17">
        <v>45345</v>
      </c>
      <c r="G799" s="18" t="s">
        <v>10</v>
      </c>
      <c r="H799" s="18" t="s">
        <v>36</v>
      </c>
      <c r="I799" s="19">
        <v>11</v>
      </c>
      <c r="J799" s="18" t="s">
        <v>37</v>
      </c>
      <c r="K799" s="19" t="s">
        <v>1761</v>
      </c>
      <c r="L799" s="14" t="s">
        <v>281</v>
      </c>
      <c r="M799" s="49" t="e">
        <f>+VLOOKUP(C799,'[1]Table 1'!$B:$B,1,0)</f>
        <v>#N/A</v>
      </c>
    </row>
    <row r="800" spans="1:13" ht="13.5" customHeight="1">
      <c r="A800" s="14">
        <f t="shared" si="11"/>
        <v>793</v>
      </c>
      <c r="B800" s="15" t="s">
        <v>1768</v>
      </c>
      <c r="C800" s="15" t="s">
        <v>1769</v>
      </c>
      <c r="D800" s="2" t="s">
        <v>1770</v>
      </c>
      <c r="E800" s="16">
        <v>0</v>
      </c>
      <c r="F800" s="17">
        <v>45345</v>
      </c>
      <c r="G800" s="18" t="s">
        <v>10</v>
      </c>
      <c r="H800" s="18" t="s">
        <v>36</v>
      </c>
      <c r="I800" s="19">
        <v>11</v>
      </c>
      <c r="J800" s="18" t="s">
        <v>37</v>
      </c>
      <c r="K800" s="19" t="s">
        <v>1761</v>
      </c>
      <c r="L800" s="14" t="s">
        <v>281</v>
      </c>
      <c r="M800" s="49" t="e">
        <f>+VLOOKUP(C800,'[1]Table 1'!$B:$B,1,0)</f>
        <v>#N/A</v>
      </c>
    </row>
    <row r="801" spans="1:13" ht="13.5" customHeight="1">
      <c r="A801" s="14">
        <f t="shared" si="11"/>
        <v>794</v>
      </c>
      <c r="B801" s="15" t="s">
        <v>1771</v>
      </c>
      <c r="C801" s="15" t="s">
        <v>1772</v>
      </c>
      <c r="D801" s="2" t="s">
        <v>1770</v>
      </c>
      <c r="E801" s="16" t="s">
        <v>335</v>
      </c>
      <c r="F801" s="17">
        <v>45345</v>
      </c>
      <c r="G801" s="18" t="s">
        <v>10</v>
      </c>
      <c r="H801" s="18" t="s">
        <v>36</v>
      </c>
      <c r="I801" s="19">
        <v>11</v>
      </c>
      <c r="J801" s="18" t="s">
        <v>37</v>
      </c>
      <c r="K801" s="19" t="s">
        <v>1761</v>
      </c>
      <c r="L801" s="14" t="s">
        <v>281</v>
      </c>
      <c r="M801" s="49" t="e">
        <f>+VLOOKUP(C801,'[1]Table 1'!$B:$B,1,0)</f>
        <v>#N/A</v>
      </c>
    </row>
    <row r="802" spans="1:13" ht="13.5" customHeight="1">
      <c r="A802" s="14">
        <f t="shared" si="11"/>
        <v>795</v>
      </c>
      <c r="B802" s="15" t="s">
        <v>1773</v>
      </c>
      <c r="C802" s="15" t="s">
        <v>1774</v>
      </c>
      <c r="D802" s="2" t="s">
        <v>1770</v>
      </c>
      <c r="E802" s="16" t="s">
        <v>335</v>
      </c>
      <c r="F802" s="17">
        <v>45345</v>
      </c>
      <c r="G802" s="18" t="s">
        <v>10</v>
      </c>
      <c r="H802" s="18" t="s">
        <v>36</v>
      </c>
      <c r="I802" s="19">
        <v>11</v>
      </c>
      <c r="J802" s="18" t="s">
        <v>37</v>
      </c>
      <c r="K802" s="19" t="s">
        <v>1761</v>
      </c>
      <c r="L802" s="14" t="s">
        <v>281</v>
      </c>
      <c r="M802" s="49" t="e">
        <f>+VLOOKUP(C802,'[1]Table 1'!$B:$B,1,0)</f>
        <v>#N/A</v>
      </c>
    </row>
    <row r="803" spans="1:13" ht="13.5" hidden="1" customHeight="1">
      <c r="A803" s="14">
        <f t="shared" si="11"/>
        <v>796</v>
      </c>
      <c r="B803" s="15" t="s">
        <v>1775</v>
      </c>
      <c r="C803" s="15" t="s">
        <v>1776</v>
      </c>
      <c r="D803" s="2" t="s">
        <v>1777</v>
      </c>
      <c r="E803" s="16">
        <v>0</v>
      </c>
      <c r="F803" s="17">
        <v>45345</v>
      </c>
      <c r="G803" s="18" t="s">
        <v>10</v>
      </c>
      <c r="H803" s="18" t="s">
        <v>36</v>
      </c>
      <c r="I803" s="19">
        <v>124</v>
      </c>
      <c r="J803" s="18" t="s">
        <v>37</v>
      </c>
      <c r="K803" s="19" t="s">
        <v>606</v>
      </c>
      <c r="L803" s="14" t="s">
        <v>281</v>
      </c>
      <c r="M803" s="49" t="str">
        <f>+VLOOKUP(C803,'[1]Table 1'!$B:$B,1,0)</f>
        <v>4600022667-001-03350-ADDMD-00001</v>
      </c>
    </row>
    <row r="804" spans="1:13" ht="13.5" hidden="1" customHeight="1">
      <c r="A804" s="14">
        <f t="shared" si="11"/>
        <v>797</v>
      </c>
      <c r="B804" s="15" t="s">
        <v>1778</v>
      </c>
      <c r="C804" s="15" t="s">
        <v>1779</v>
      </c>
      <c r="D804" s="2" t="s">
        <v>1780</v>
      </c>
      <c r="E804" s="16">
        <v>0</v>
      </c>
      <c r="F804" s="17">
        <v>45345</v>
      </c>
      <c r="G804" s="18" t="s">
        <v>10</v>
      </c>
      <c r="H804" s="18" t="s">
        <v>36</v>
      </c>
      <c r="I804" s="19">
        <v>103</v>
      </c>
      <c r="J804" s="18" t="s">
        <v>37</v>
      </c>
      <c r="K804" s="19" t="s">
        <v>606</v>
      </c>
      <c r="L804" s="14" t="s">
        <v>281</v>
      </c>
      <c r="M804" s="49" t="str">
        <f>+VLOOKUP(C804,'[1]Table 1'!$B:$B,1,0)</f>
        <v>4600022667-001-03350-ADDMD-00002</v>
      </c>
    </row>
    <row r="805" spans="1:13" ht="13.5" hidden="1" customHeight="1">
      <c r="A805" s="14">
        <f t="shared" si="11"/>
        <v>798</v>
      </c>
      <c r="B805" s="15" t="s">
        <v>1781</v>
      </c>
      <c r="C805" s="15" t="s">
        <v>1782</v>
      </c>
      <c r="D805" s="2" t="s">
        <v>1783</v>
      </c>
      <c r="E805" s="16">
        <v>1</v>
      </c>
      <c r="F805" s="17">
        <v>45345</v>
      </c>
      <c r="G805" s="18" t="s">
        <v>10</v>
      </c>
      <c r="H805" s="18" t="s">
        <v>36</v>
      </c>
      <c r="I805" s="19">
        <v>20</v>
      </c>
      <c r="J805" s="18" t="s">
        <v>37</v>
      </c>
      <c r="K805" s="19" t="s">
        <v>606</v>
      </c>
      <c r="L805" s="14" t="s">
        <v>281</v>
      </c>
      <c r="M805" s="49" t="str">
        <f>+VLOOKUP(C805,'[1]Table 1'!$B:$B,1,0)</f>
        <v>4600022667-001-03350-ADDMD-00003</v>
      </c>
    </row>
    <row r="806" spans="1:13" ht="13.5" hidden="1" customHeight="1">
      <c r="A806" s="14">
        <f t="shared" si="11"/>
        <v>799</v>
      </c>
      <c r="B806" s="15" t="s">
        <v>1784</v>
      </c>
      <c r="C806" s="15" t="s">
        <v>1785</v>
      </c>
      <c r="D806" s="2" t="s">
        <v>1786</v>
      </c>
      <c r="E806" s="16">
        <v>1</v>
      </c>
      <c r="F806" s="17">
        <v>45345</v>
      </c>
      <c r="G806" s="18" t="s">
        <v>10</v>
      </c>
      <c r="H806" s="18" t="s">
        <v>36</v>
      </c>
      <c r="I806" s="19">
        <v>24</v>
      </c>
      <c r="J806" s="18" t="s">
        <v>37</v>
      </c>
      <c r="K806" s="19" t="s">
        <v>606</v>
      </c>
      <c r="L806" s="14" t="s">
        <v>281</v>
      </c>
      <c r="M806" s="49" t="str">
        <f>+VLOOKUP(C806,'[1]Table 1'!$B:$B,1,0)</f>
        <v>4600022667-001-03350-ADDMD-00004</v>
      </c>
    </row>
    <row r="807" spans="1:13" ht="13.5" hidden="1" customHeight="1">
      <c r="A807" s="14">
        <f t="shared" si="11"/>
        <v>800</v>
      </c>
      <c r="B807" s="15" t="s">
        <v>1787</v>
      </c>
      <c r="C807" s="15" t="s">
        <v>1788</v>
      </c>
      <c r="D807" s="2" t="s">
        <v>1789</v>
      </c>
      <c r="E807" s="16">
        <v>2</v>
      </c>
      <c r="F807" s="17">
        <v>45345</v>
      </c>
      <c r="G807" s="18" t="s">
        <v>10</v>
      </c>
      <c r="H807" s="18" t="s">
        <v>36</v>
      </c>
      <c r="I807" s="19">
        <v>14</v>
      </c>
      <c r="J807" s="18" t="s">
        <v>37</v>
      </c>
      <c r="K807" s="19" t="s">
        <v>606</v>
      </c>
      <c r="L807" s="14" t="s">
        <v>281</v>
      </c>
      <c r="M807" s="49" t="str">
        <f>+VLOOKUP(C807,'[1]Table 1'!$B:$B,1,0)</f>
        <v>4600022667-001-03350-INFMD-00001</v>
      </c>
    </row>
    <row r="808" spans="1:13" ht="13.5" hidden="1" customHeight="1">
      <c r="A808" s="14">
        <f t="shared" si="11"/>
        <v>801</v>
      </c>
      <c r="B808" s="15" t="s">
        <v>1790</v>
      </c>
      <c r="C808" s="15" t="s">
        <v>1791</v>
      </c>
      <c r="D808" s="2" t="s">
        <v>1792</v>
      </c>
      <c r="E808" s="16">
        <v>1</v>
      </c>
      <c r="F808" s="17">
        <v>45345</v>
      </c>
      <c r="G808" s="18" t="s">
        <v>10</v>
      </c>
      <c r="H808" s="18" t="s">
        <v>36</v>
      </c>
      <c r="I808" s="19">
        <v>80</v>
      </c>
      <c r="J808" s="18" t="s">
        <v>37</v>
      </c>
      <c r="K808" s="19" t="s">
        <v>606</v>
      </c>
      <c r="L808" s="14" t="s">
        <v>281</v>
      </c>
      <c r="M808" s="49" t="str">
        <f>+VLOOKUP(C808,'[1]Table 1'!$B:$B,1,0)</f>
        <v>4600022667-001-03350-INFMD-00002</v>
      </c>
    </row>
    <row r="809" spans="1:13" ht="13.5" customHeight="1">
      <c r="A809" s="14">
        <f t="shared" si="11"/>
        <v>802</v>
      </c>
      <c r="B809" s="15" t="s">
        <v>604</v>
      </c>
      <c r="C809" s="15" t="s">
        <v>604</v>
      </c>
      <c r="D809" s="2" t="s">
        <v>1793</v>
      </c>
      <c r="E809" s="16">
        <v>0</v>
      </c>
      <c r="F809" s="17">
        <v>45345</v>
      </c>
      <c r="G809" s="18" t="s">
        <v>10</v>
      </c>
      <c r="H809" s="18" t="s">
        <v>36</v>
      </c>
      <c r="I809" s="19">
        <v>49</v>
      </c>
      <c r="J809" s="18" t="s">
        <v>37</v>
      </c>
      <c r="K809" s="19" t="s">
        <v>606</v>
      </c>
      <c r="L809" s="14" t="s">
        <v>281</v>
      </c>
      <c r="M809" s="49" t="e">
        <f>+VLOOKUP(C809,'[1]Table 1'!$B:$B,1,0)</f>
        <v>#N/A</v>
      </c>
    </row>
    <row r="810" spans="1:13" ht="13.5" customHeight="1">
      <c r="A810" s="26">
        <f t="shared" si="11"/>
        <v>803</v>
      </c>
      <c r="B810" s="27" t="s">
        <v>1794</v>
      </c>
      <c r="C810" s="27" t="s">
        <v>1794</v>
      </c>
      <c r="D810" s="28" t="s">
        <v>1795</v>
      </c>
      <c r="E810" s="29" t="s">
        <v>335</v>
      </c>
      <c r="F810" s="30">
        <v>45345</v>
      </c>
      <c r="G810" s="31" t="s">
        <v>10</v>
      </c>
      <c r="H810" s="31" t="s">
        <v>36</v>
      </c>
      <c r="I810" s="32">
        <v>97</v>
      </c>
      <c r="J810" s="31" t="s">
        <v>37</v>
      </c>
      <c r="K810" s="32" t="s">
        <v>606</v>
      </c>
      <c r="L810" s="14" t="s">
        <v>281</v>
      </c>
      <c r="M810" s="49" t="e">
        <f>+VLOOKUP(C810,'[1]Table 1'!$B:$B,1,0)</f>
        <v>#N/A</v>
      </c>
    </row>
    <row r="811" spans="1:13" ht="13.5" hidden="1" customHeight="1">
      <c r="A811" s="14">
        <f t="shared" si="11"/>
        <v>804</v>
      </c>
      <c r="B811" s="15" t="s">
        <v>1796</v>
      </c>
      <c r="C811" s="15" t="s">
        <v>1797</v>
      </c>
      <c r="D811" s="2" t="s">
        <v>1798</v>
      </c>
      <c r="E811" s="16">
        <v>0</v>
      </c>
      <c r="F811" s="17">
        <v>45345</v>
      </c>
      <c r="G811" s="18" t="s">
        <v>10</v>
      </c>
      <c r="H811" s="18" t="s">
        <v>36</v>
      </c>
      <c r="I811" s="19">
        <v>99</v>
      </c>
      <c r="J811" s="18" t="s">
        <v>37</v>
      </c>
      <c r="K811" s="19" t="s">
        <v>606</v>
      </c>
      <c r="L811" s="14" t="s">
        <v>281</v>
      </c>
      <c r="M811" s="49" t="str">
        <f>+VLOOKUP(C811,'[1]Table 1'!$B:$B,1,0)</f>
        <v>4600022667-001-03350-INFMD-00003</v>
      </c>
    </row>
    <row r="812" spans="1:13" ht="13.5" customHeight="1">
      <c r="A812" s="14">
        <f t="shared" si="11"/>
        <v>805</v>
      </c>
      <c r="B812" s="15" t="s">
        <v>1799</v>
      </c>
      <c r="C812" s="15" t="s">
        <v>1800</v>
      </c>
      <c r="D812" s="2" t="s">
        <v>1801</v>
      </c>
      <c r="E812" s="16" t="s">
        <v>335</v>
      </c>
      <c r="F812" s="17">
        <v>45345</v>
      </c>
      <c r="G812" s="18" t="s">
        <v>10</v>
      </c>
      <c r="H812" s="18" t="s">
        <v>36</v>
      </c>
      <c r="I812" s="19">
        <v>18</v>
      </c>
      <c r="J812" s="18" t="s">
        <v>37</v>
      </c>
      <c r="K812" s="19" t="s">
        <v>606</v>
      </c>
      <c r="L812" s="14" t="s">
        <v>281</v>
      </c>
      <c r="M812" s="49" t="e">
        <f>+VLOOKUP(C812,'[1]Table 1'!$B:$B,1,0)</f>
        <v>#N/A</v>
      </c>
    </row>
    <row r="813" spans="1:13" ht="13.5" hidden="1" customHeight="1">
      <c r="A813" s="20">
        <f t="shared" si="11"/>
        <v>806</v>
      </c>
      <c r="B813" s="21" t="s">
        <v>1802</v>
      </c>
      <c r="C813" s="21" t="s">
        <v>1803</v>
      </c>
      <c r="D813" s="1" t="s">
        <v>1764</v>
      </c>
      <c r="E813" s="22" t="s">
        <v>363</v>
      </c>
      <c r="F813" s="23">
        <v>45345</v>
      </c>
      <c r="G813" s="24" t="s">
        <v>10</v>
      </c>
      <c r="H813" s="24" t="s">
        <v>364</v>
      </c>
      <c r="I813" s="25">
        <v>11</v>
      </c>
      <c r="J813" s="24" t="s">
        <v>37</v>
      </c>
      <c r="K813" s="25" t="s">
        <v>606</v>
      </c>
      <c r="L813" s="14" t="s">
        <v>38</v>
      </c>
      <c r="M813" s="49" t="e">
        <f>+VLOOKUP(C813,'[1]Table 1'!$B:$B,1,0)</f>
        <v>#N/A</v>
      </c>
    </row>
    <row r="814" spans="1:13" ht="13.5" hidden="1" customHeight="1">
      <c r="A814" s="14">
        <f t="shared" si="11"/>
        <v>807</v>
      </c>
      <c r="B814" s="15" t="s">
        <v>1804</v>
      </c>
      <c r="C814" s="15" t="s">
        <v>1805</v>
      </c>
      <c r="D814" s="2" t="s">
        <v>1806</v>
      </c>
      <c r="E814" s="16">
        <v>0</v>
      </c>
      <c r="F814" s="17">
        <v>45345</v>
      </c>
      <c r="G814" s="18" t="s">
        <v>10</v>
      </c>
      <c r="H814" s="18" t="s">
        <v>36</v>
      </c>
      <c r="I814" s="19">
        <v>6</v>
      </c>
      <c r="J814" s="18" t="s">
        <v>37</v>
      </c>
      <c r="K814" s="19" t="s">
        <v>606</v>
      </c>
      <c r="L814" s="14" t="s">
        <v>281</v>
      </c>
      <c r="M814" s="49" t="str">
        <f>+VLOOKUP(C814,'[1]Table 1'!$B:$B,1,0)</f>
        <v>4600022667-001-03350-MEMMD-00002</v>
      </c>
    </row>
    <row r="815" spans="1:13" ht="13.5" hidden="1" customHeight="1">
      <c r="A815" s="14">
        <f t="shared" si="11"/>
        <v>808</v>
      </c>
      <c r="B815" s="15" t="s">
        <v>1807</v>
      </c>
      <c r="C815" s="15" t="s">
        <v>1808</v>
      </c>
      <c r="D815" s="2" t="s">
        <v>1809</v>
      </c>
      <c r="E815" s="16">
        <v>0</v>
      </c>
      <c r="F815" s="17">
        <v>45345</v>
      </c>
      <c r="G815" s="18" t="s">
        <v>10</v>
      </c>
      <c r="H815" s="18" t="s">
        <v>36</v>
      </c>
      <c r="I815" s="19">
        <v>8</v>
      </c>
      <c r="J815" s="18" t="s">
        <v>37</v>
      </c>
      <c r="K815" s="19" t="s">
        <v>606</v>
      </c>
      <c r="L815" s="14" t="s">
        <v>281</v>
      </c>
      <c r="M815" s="49" t="str">
        <f>+VLOOKUP(C815,'[1]Table 1'!$B:$B,1,0)</f>
        <v>4600022667-001-03350-MEMMD-00003</v>
      </c>
    </row>
    <row r="816" spans="1:13" ht="13.5" hidden="1" customHeight="1">
      <c r="A816" s="14">
        <f t="shared" si="11"/>
        <v>809</v>
      </c>
      <c r="B816" s="15" t="s">
        <v>1810</v>
      </c>
      <c r="C816" s="15" t="s">
        <v>1811</v>
      </c>
      <c r="D816" s="2" t="s">
        <v>1812</v>
      </c>
      <c r="E816" s="16">
        <v>0</v>
      </c>
      <c r="F816" s="17">
        <v>45345</v>
      </c>
      <c r="G816" s="18" t="s">
        <v>10</v>
      </c>
      <c r="H816" s="18" t="s">
        <v>36</v>
      </c>
      <c r="I816" s="19">
        <v>9</v>
      </c>
      <c r="J816" s="18" t="s">
        <v>37</v>
      </c>
      <c r="K816" s="19" t="s">
        <v>606</v>
      </c>
      <c r="L816" s="14" t="s">
        <v>281</v>
      </c>
      <c r="M816" s="49" t="str">
        <f>+VLOOKUP(C816,'[1]Table 1'!$B:$B,1,0)</f>
        <v>4600022667-001-03350-MEMMD-00004</v>
      </c>
    </row>
    <row r="817" spans="1:13" ht="13.5" hidden="1" customHeight="1">
      <c r="A817" s="14">
        <f t="shared" si="11"/>
        <v>810</v>
      </c>
      <c r="B817" s="15" t="s">
        <v>1813</v>
      </c>
      <c r="C817" s="15" t="s">
        <v>1814</v>
      </c>
      <c r="D817" s="2" t="s">
        <v>1815</v>
      </c>
      <c r="E817" s="16">
        <v>0</v>
      </c>
      <c r="F817" s="17">
        <v>45345</v>
      </c>
      <c r="G817" s="18" t="s">
        <v>10</v>
      </c>
      <c r="H817" s="18" t="s">
        <v>36</v>
      </c>
      <c r="I817" s="19">
        <v>8</v>
      </c>
      <c r="J817" s="18" t="s">
        <v>37</v>
      </c>
      <c r="K817" s="19" t="s">
        <v>606</v>
      </c>
      <c r="L817" s="14" t="s">
        <v>281</v>
      </c>
      <c r="M817" s="49" t="str">
        <f>+VLOOKUP(C817,'[1]Table 1'!$B:$B,1,0)</f>
        <v>4600022667-001-03350-MEMMD-00005</v>
      </c>
    </row>
    <row r="818" spans="1:13" ht="13.5" hidden="1" customHeight="1">
      <c r="A818" s="14">
        <f t="shared" si="11"/>
        <v>811</v>
      </c>
      <c r="B818" s="15" t="s">
        <v>1816</v>
      </c>
      <c r="C818" s="15" t="s">
        <v>1817</v>
      </c>
      <c r="D818" s="2" t="s">
        <v>1818</v>
      </c>
      <c r="E818" s="16">
        <v>0</v>
      </c>
      <c r="F818" s="17">
        <v>45345</v>
      </c>
      <c r="G818" s="18" t="s">
        <v>10</v>
      </c>
      <c r="H818" s="18" t="s">
        <v>36</v>
      </c>
      <c r="I818" s="19">
        <v>7</v>
      </c>
      <c r="J818" s="18" t="s">
        <v>37</v>
      </c>
      <c r="K818" s="19" t="s">
        <v>606</v>
      </c>
      <c r="L818" s="14" t="s">
        <v>281</v>
      </c>
      <c r="M818" s="49" t="str">
        <f>+VLOOKUP(C818,'[1]Table 1'!$B:$B,1,0)</f>
        <v>4600022667-001-03350-MEMMD-00006</v>
      </c>
    </row>
    <row r="819" spans="1:13" ht="13.5" hidden="1" customHeight="1">
      <c r="A819" s="14">
        <f t="shared" si="11"/>
        <v>812</v>
      </c>
      <c r="B819" s="15" t="s">
        <v>1819</v>
      </c>
      <c r="C819" s="15" t="s">
        <v>1820</v>
      </c>
      <c r="D819" s="2" t="s">
        <v>1821</v>
      </c>
      <c r="E819" s="16">
        <v>0</v>
      </c>
      <c r="F819" s="17">
        <v>45345</v>
      </c>
      <c r="G819" s="18" t="s">
        <v>10</v>
      </c>
      <c r="H819" s="18" t="s">
        <v>36</v>
      </c>
      <c r="I819" s="19">
        <v>9</v>
      </c>
      <c r="J819" s="18" t="s">
        <v>37</v>
      </c>
      <c r="K819" s="19" t="s">
        <v>606</v>
      </c>
      <c r="L819" s="14" t="s">
        <v>281</v>
      </c>
      <c r="M819" s="49" t="str">
        <f>+VLOOKUP(C819,'[1]Table 1'!$B:$B,1,0)</f>
        <v>4600022667-001-03350-MEMMD-00007</v>
      </c>
    </row>
    <row r="820" spans="1:13" ht="13.5" hidden="1" customHeight="1">
      <c r="A820" s="14">
        <f t="shared" si="11"/>
        <v>813</v>
      </c>
      <c r="B820" s="15" t="s">
        <v>1822</v>
      </c>
      <c r="C820" s="15" t="s">
        <v>1823</v>
      </c>
      <c r="D820" s="2" t="s">
        <v>1824</v>
      </c>
      <c r="E820" s="16">
        <v>0</v>
      </c>
      <c r="F820" s="17">
        <v>45345</v>
      </c>
      <c r="G820" s="18" t="s">
        <v>10</v>
      </c>
      <c r="H820" s="18" t="s">
        <v>36</v>
      </c>
      <c r="I820" s="19">
        <v>8</v>
      </c>
      <c r="J820" s="18" t="s">
        <v>37</v>
      </c>
      <c r="K820" s="19" t="s">
        <v>606</v>
      </c>
      <c r="L820" s="14" t="s">
        <v>281</v>
      </c>
      <c r="M820" s="49" t="str">
        <f>+VLOOKUP(C820,'[1]Table 1'!$B:$B,1,0)</f>
        <v>4600022667-001-03350-MEMMD-00010</v>
      </c>
    </row>
    <row r="821" spans="1:13" ht="13.5" hidden="1" customHeight="1">
      <c r="A821" s="14">
        <f t="shared" si="11"/>
        <v>814</v>
      </c>
      <c r="B821" s="15" t="s">
        <v>1825</v>
      </c>
      <c r="C821" s="15" t="s">
        <v>1826</v>
      </c>
      <c r="D821" s="2" t="s">
        <v>1827</v>
      </c>
      <c r="E821" s="16">
        <v>0</v>
      </c>
      <c r="F821" s="17">
        <v>45345</v>
      </c>
      <c r="G821" s="18" t="s">
        <v>10</v>
      </c>
      <c r="H821" s="18" t="s">
        <v>36</v>
      </c>
      <c r="I821" s="19">
        <v>82</v>
      </c>
      <c r="J821" s="18" t="s">
        <v>37</v>
      </c>
      <c r="K821" s="19" t="s">
        <v>606</v>
      </c>
      <c r="L821" s="14" t="s">
        <v>281</v>
      </c>
      <c r="M821" s="49" t="str">
        <f>+VLOOKUP(C821,'[1]Table 1'!$B:$B,1,0)</f>
        <v>4600022667-001-03350-MNLMD-00001</v>
      </c>
    </row>
    <row r="822" spans="1:13" ht="13.5" customHeight="1">
      <c r="A822" s="14">
        <f t="shared" si="11"/>
        <v>815</v>
      </c>
      <c r="B822" s="15" t="s">
        <v>1828</v>
      </c>
      <c r="C822" s="15" t="s">
        <v>1829</v>
      </c>
      <c r="D822" s="2" t="s">
        <v>1830</v>
      </c>
      <c r="E822" s="16">
        <v>2</v>
      </c>
      <c r="F822" s="17">
        <v>45345</v>
      </c>
      <c r="G822" s="18" t="s">
        <v>10</v>
      </c>
      <c r="H822" s="18" t="s">
        <v>36</v>
      </c>
      <c r="I822" s="19">
        <v>16</v>
      </c>
      <c r="J822" s="18" t="s">
        <v>37</v>
      </c>
      <c r="K822" s="19" t="s">
        <v>606</v>
      </c>
      <c r="L822" s="14" t="s">
        <v>281</v>
      </c>
      <c r="M822" s="49" t="e">
        <f>+VLOOKUP(C822,'[1]Table 1'!$B:$B,1,0)</f>
        <v>#N/A</v>
      </c>
    </row>
    <row r="823" spans="1:13" ht="13.5" hidden="1" customHeight="1">
      <c r="A823" s="26">
        <f t="shared" si="11"/>
        <v>816</v>
      </c>
      <c r="B823" s="27" t="s">
        <v>607</v>
      </c>
      <c r="C823" s="27"/>
      <c r="D823" s="28" t="s">
        <v>608</v>
      </c>
      <c r="E823" s="29" t="s">
        <v>34</v>
      </c>
      <c r="F823" s="30">
        <v>45345</v>
      </c>
      <c r="G823" s="31" t="s">
        <v>609</v>
      </c>
      <c r="H823" s="31" t="s">
        <v>36</v>
      </c>
      <c r="I823" s="32">
        <v>49</v>
      </c>
      <c r="J823" s="31" t="s">
        <v>37</v>
      </c>
      <c r="K823" s="32" t="s">
        <v>606</v>
      </c>
      <c r="L823" s="14" t="s">
        <v>38</v>
      </c>
      <c r="M823" s="49"/>
    </row>
    <row r="824" spans="1:13" ht="13.5" hidden="1" customHeight="1">
      <c r="A824" s="26">
        <f t="shared" si="11"/>
        <v>817</v>
      </c>
      <c r="B824" s="27" t="s">
        <v>610</v>
      </c>
      <c r="C824" s="27"/>
      <c r="D824" s="28" t="s">
        <v>611</v>
      </c>
      <c r="E824" s="29" t="s">
        <v>34</v>
      </c>
      <c r="F824" s="30">
        <v>45345</v>
      </c>
      <c r="G824" s="31" t="s">
        <v>11</v>
      </c>
      <c r="H824" s="31" t="s">
        <v>36</v>
      </c>
      <c r="I824" s="32" t="s">
        <v>34</v>
      </c>
      <c r="J824" s="31" t="s">
        <v>37</v>
      </c>
      <c r="K824" s="32" t="s">
        <v>606</v>
      </c>
      <c r="L824" s="14" t="s">
        <v>38</v>
      </c>
      <c r="M824" s="49"/>
    </row>
    <row r="825" spans="1:13" ht="13.5" hidden="1" customHeight="1">
      <c r="A825" s="14">
        <f t="shared" si="11"/>
        <v>818</v>
      </c>
      <c r="B825" s="15" t="s">
        <v>1831</v>
      </c>
      <c r="C825" s="15" t="s">
        <v>1832</v>
      </c>
      <c r="D825" s="2" t="s">
        <v>1833</v>
      </c>
      <c r="E825" s="16" t="s">
        <v>335</v>
      </c>
      <c r="F825" s="17">
        <v>45345</v>
      </c>
      <c r="G825" s="18" t="s">
        <v>14</v>
      </c>
      <c r="H825" s="18" t="s">
        <v>36</v>
      </c>
      <c r="I825" s="19">
        <v>1</v>
      </c>
      <c r="J825" s="18" t="s">
        <v>1753</v>
      </c>
      <c r="K825" s="19" t="s">
        <v>1834</v>
      </c>
      <c r="L825" s="14" t="s">
        <v>281</v>
      </c>
      <c r="M825" s="49" t="str">
        <f>+VLOOKUP(C825,'[1]Table 1'!$B:$B,1,0)</f>
        <v>4600022667-001-03350-100ME-00001</v>
      </c>
    </row>
    <row r="826" spans="1:13" ht="13.5" hidden="1" customHeight="1">
      <c r="A826" s="14">
        <f t="shared" si="11"/>
        <v>819</v>
      </c>
      <c r="B826" s="15" t="s">
        <v>1835</v>
      </c>
      <c r="C826" s="15" t="s">
        <v>1836</v>
      </c>
      <c r="D826" s="2" t="s">
        <v>1837</v>
      </c>
      <c r="E826" s="16">
        <v>0</v>
      </c>
      <c r="F826" s="17">
        <v>45345</v>
      </c>
      <c r="G826" s="18" t="s">
        <v>14</v>
      </c>
      <c r="H826" s="18" t="s">
        <v>36</v>
      </c>
      <c r="I826" s="19">
        <v>1</v>
      </c>
      <c r="J826" s="18" t="s">
        <v>1753</v>
      </c>
      <c r="K826" s="19" t="s">
        <v>1834</v>
      </c>
      <c r="L826" s="14" t="s">
        <v>281</v>
      </c>
      <c r="M826" s="49" t="str">
        <f>+VLOOKUP(C826,'[1]Table 1'!$B:$B,1,0)</f>
        <v>4600022667-001-03350-100ME-00002</v>
      </c>
    </row>
    <row r="827" spans="1:13" ht="13.5" hidden="1" customHeight="1">
      <c r="A827" s="14">
        <f t="shared" si="11"/>
        <v>820</v>
      </c>
      <c r="B827" s="15" t="s">
        <v>1838</v>
      </c>
      <c r="C827" s="15" t="s">
        <v>1839</v>
      </c>
      <c r="D827" s="2" t="s">
        <v>1840</v>
      </c>
      <c r="E827" s="16" t="s">
        <v>335</v>
      </c>
      <c r="F827" s="17">
        <v>45345</v>
      </c>
      <c r="G827" s="18" t="s">
        <v>14</v>
      </c>
      <c r="H827" s="18" t="s">
        <v>36</v>
      </c>
      <c r="I827" s="19">
        <v>1</v>
      </c>
      <c r="J827" s="18" t="s">
        <v>1753</v>
      </c>
      <c r="K827" s="19" t="s">
        <v>1834</v>
      </c>
      <c r="L827" s="14" t="s">
        <v>281</v>
      </c>
      <c r="M827" s="49" t="str">
        <f>+VLOOKUP(C827,'[1]Table 1'!$B:$B,1,0)</f>
        <v>4600022667-001-03350-101ME-00001</v>
      </c>
    </row>
    <row r="828" spans="1:13" ht="13.5" hidden="1" customHeight="1">
      <c r="A828" s="14">
        <f t="shared" si="11"/>
        <v>821</v>
      </c>
      <c r="B828" s="15" t="s">
        <v>1841</v>
      </c>
      <c r="C828" s="15" t="s">
        <v>1842</v>
      </c>
      <c r="D828" s="2" t="s">
        <v>1843</v>
      </c>
      <c r="E828" s="16" t="s">
        <v>335</v>
      </c>
      <c r="F828" s="17">
        <v>45345</v>
      </c>
      <c r="G828" s="18" t="s">
        <v>14</v>
      </c>
      <c r="H828" s="18" t="s">
        <v>36</v>
      </c>
      <c r="I828" s="19">
        <v>1</v>
      </c>
      <c r="J828" s="18" t="s">
        <v>1753</v>
      </c>
      <c r="K828" s="19" t="s">
        <v>1834</v>
      </c>
      <c r="L828" s="14" t="s">
        <v>281</v>
      </c>
      <c r="M828" s="49" t="str">
        <f>+VLOOKUP(C828,'[1]Table 1'!$B:$B,1,0)</f>
        <v>4600022667-001-03350-101ME-00002</v>
      </c>
    </row>
    <row r="829" spans="1:13" ht="13.5" hidden="1" customHeight="1">
      <c r="A829" s="14">
        <f t="shared" si="11"/>
        <v>822</v>
      </c>
      <c r="B829" s="15" t="s">
        <v>1844</v>
      </c>
      <c r="C829" s="15" t="s">
        <v>1845</v>
      </c>
      <c r="D829" s="2" t="s">
        <v>1846</v>
      </c>
      <c r="E829" s="16" t="s">
        <v>335</v>
      </c>
      <c r="F829" s="17">
        <v>45345</v>
      </c>
      <c r="G829" s="18" t="s">
        <v>14</v>
      </c>
      <c r="H829" s="18" t="s">
        <v>36</v>
      </c>
      <c r="I829" s="19">
        <v>1</v>
      </c>
      <c r="J829" s="18" t="s">
        <v>1753</v>
      </c>
      <c r="K829" s="19" t="s">
        <v>1834</v>
      </c>
      <c r="L829" s="14" t="s">
        <v>281</v>
      </c>
      <c r="M829" s="49" t="str">
        <f>+VLOOKUP(C829,'[1]Table 1'!$B:$B,1,0)</f>
        <v>4600022667-001-03350-101ME-00003</v>
      </c>
    </row>
    <row r="830" spans="1:13" ht="13.5" hidden="1" customHeight="1">
      <c r="A830" s="20">
        <f t="shared" si="11"/>
        <v>823</v>
      </c>
      <c r="B830" s="21" t="s">
        <v>1847</v>
      </c>
      <c r="C830" s="21" t="s">
        <v>1848</v>
      </c>
      <c r="D830" s="1" t="s">
        <v>1849</v>
      </c>
      <c r="E830" s="22">
        <v>1</v>
      </c>
      <c r="F830" s="23">
        <v>45345</v>
      </c>
      <c r="G830" s="24" t="s">
        <v>14</v>
      </c>
      <c r="H830" s="24" t="s">
        <v>49</v>
      </c>
      <c r="I830" s="25">
        <v>1</v>
      </c>
      <c r="J830" s="24" t="s">
        <v>1753</v>
      </c>
      <c r="K830" s="25" t="s">
        <v>1834</v>
      </c>
      <c r="L830" s="14" t="s">
        <v>281</v>
      </c>
      <c r="M830" s="49" t="str">
        <f>+VLOOKUP(C830,'[1]Table 1'!$B:$B,1,0)</f>
        <v>4600022667-001-03350-103ME-00001</v>
      </c>
    </row>
    <row r="831" spans="1:13" ht="13.5" hidden="1" customHeight="1">
      <c r="A831" s="14">
        <f t="shared" ref="A831:A860" si="12">ROW()-7</f>
        <v>824</v>
      </c>
      <c r="B831" s="15" t="s">
        <v>1850</v>
      </c>
      <c r="C831" s="15" t="s">
        <v>1851</v>
      </c>
      <c r="D831" s="2" t="s">
        <v>1852</v>
      </c>
      <c r="E831" s="16">
        <v>1</v>
      </c>
      <c r="F831" s="17">
        <v>45345</v>
      </c>
      <c r="G831" s="18" t="s">
        <v>14</v>
      </c>
      <c r="H831" s="18" t="s">
        <v>36</v>
      </c>
      <c r="I831" s="19">
        <v>1</v>
      </c>
      <c r="J831" s="18" t="s">
        <v>1753</v>
      </c>
      <c r="K831" s="19" t="s">
        <v>1834</v>
      </c>
      <c r="L831" s="14" t="s">
        <v>281</v>
      </c>
      <c r="M831" s="49" t="str">
        <f>+VLOOKUP(C831,'[1]Table 1'!$B:$B,1,0)</f>
        <v>4600022667-001-03350-103ME-00002</v>
      </c>
    </row>
    <row r="832" spans="1:13" ht="13.5" hidden="1" customHeight="1">
      <c r="A832" s="14">
        <f t="shared" si="12"/>
        <v>825</v>
      </c>
      <c r="B832" s="15" t="s">
        <v>1853</v>
      </c>
      <c r="C832" s="15" t="s">
        <v>1854</v>
      </c>
      <c r="D832" s="2" t="s">
        <v>1855</v>
      </c>
      <c r="E832" s="16">
        <v>1</v>
      </c>
      <c r="F832" s="17">
        <v>45345</v>
      </c>
      <c r="G832" s="18" t="s">
        <v>14</v>
      </c>
      <c r="H832" s="18" t="s">
        <v>36</v>
      </c>
      <c r="I832" s="19">
        <v>1</v>
      </c>
      <c r="J832" s="18" t="s">
        <v>1753</v>
      </c>
      <c r="K832" s="19" t="s">
        <v>1834</v>
      </c>
      <c r="L832" s="14" t="s">
        <v>281</v>
      </c>
      <c r="M832" s="49" t="str">
        <f>+VLOOKUP(C832,'[1]Table 1'!$B:$B,1,0)</f>
        <v>4600022667-001-03350-103ME-00003</v>
      </c>
    </row>
    <row r="833" spans="1:13" ht="13.5" hidden="1" customHeight="1">
      <c r="A833" s="14">
        <f t="shared" si="12"/>
        <v>826</v>
      </c>
      <c r="B833" s="15" t="s">
        <v>1856</v>
      </c>
      <c r="C833" s="15" t="s">
        <v>1857</v>
      </c>
      <c r="D833" s="2" t="s">
        <v>1858</v>
      </c>
      <c r="E833" s="16">
        <v>0</v>
      </c>
      <c r="F833" s="17">
        <v>45345</v>
      </c>
      <c r="G833" s="18" t="s">
        <v>14</v>
      </c>
      <c r="H833" s="18" t="s">
        <v>36</v>
      </c>
      <c r="I833" s="19">
        <v>1</v>
      </c>
      <c r="J833" s="18" t="s">
        <v>1753</v>
      </c>
      <c r="K833" s="19" t="s">
        <v>1834</v>
      </c>
      <c r="L833" s="14" t="s">
        <v>281</v>
      </c>
      <c r="M833" s="49" t="str">
        <f>+VLOOKUP(C833,'[1]Table 1'!$B:$B,1,0)</f>
        <v>4600022667-001-03350-103ME-00004</v>
      </c>
    </row>
    <row r="834" spans="1:13" ht="13.5" hidden="1" customHeight="1">
      <c r="A834" s="14">
        <f t="shared" si="12"/>
        <v>827</v>
      </c>
      <c r="B834" s="15" t="s">
        <v>1859</v>
      </c>
      <c r="C834" s="15" t="s">
        <v>1860</v>
      </c>
      <c r="D834" s="2" t="s">
        <v>1861</v>
      </c>
      <c r="E834" s="16">
        <v>0</v>
      </c>
      <c r="F834" s="17">
        <v>45345</v>
      </c>
      <c r="G834" s="18" t="s">
        <v>6</v>
      </c>
      <c r="H834" s="18" t="s">
        <v>36</v>
      </c>
      <c r="I834" s="19">
        <v>227</v>
      </c>
      <c r="J834" s="18" t="s">
        <v>1753</v>
      </c>
      <c r="K834" s="19" t="s">
        <v>1834</v>
      </c>
      <c r="L834" s="14" t="s">
        <v>281</v>
      </c>
      <c r="M834" s="49" t="str">
        <f>+VLOOKUP(C834,'[1]Table 1'!$B:$B,1,0)</f>
        <v>4600022667-001-03350-CRDME-00001</v>
      </c>
    </row>
    <row r="835" spans="1:13" ht="13.5" customHeight="1">
      <c r="A835" s="14">
        <f t="shared" si="12"/>
        <v>828</v>
      </c>
      <c r="B835" s="15" t="s">
        <v>1862</v>
      </c>
      <c r="C835" s="15" t="s">
        <v>1863</v>
      </c>
      <c r="D835" s="2" t="s">
        <v>1864</v>
      </c>
      <c r="E835" s="16" t="s">
        <v>335</v>
      </c>
      <c r="F835" s="17">
        <v>45345</v>
      </c>
      <c r="G835" s="18" t="s">
        <v>7</v>
      </c>
      <c r="H835" s="18" t="s">
        <v>36</v>
      </c>
      <c r="I835" s="19">
        <v>10</v>
      </c>
      <c r="J835" s="18" t="s">
        <v>1753</v>
      </c>
      <c r="K835" s="19" t="s">
        <v>1834</v>
      </c>
      <c r="L835" s="14" t="s">
        <v>281</v>
      </c>
      <c r="M835" s="49" t="e">
        <f>+VLOOKUP(C835,'[1]Table 1'!$B:$B,1,0)</f>
        <v>#N/A</v>
      </c>
    </row>
    <row r="836" spans="1:13" ht="13.5" hidden="1" customHeight="1">
      <c r="A836" s="14">
        <f t="shared" si="12"/>
        <v>829</v>
      </c>
      <c r="B836" s="15" t="s">
        <v>1865</v>
      </c>
      <c r="C836" s="15" t="s">
        <v>1866</v>
      </c>
      <c r="D836" s="2" t="s">
        <v>1867</v>
      </c>
      <c r="E836" s="16">
        <v>0</v>
      </c>
      <c r="F836" s="17">
        <v>45345</v>
      </c>
      <c r="G836" s="18" t="s">
        <v>8</v>
      </c>
      <c r="H836" s="18" t="s">
        <v>36</v>
      </c>
      <c r="I836" s="19">
        <v>33</v>
      </c>
      <c r="J836" s="18" t="s">
        <v>1753</v>
      </c>
      <c r="K836" s="19" t="s">
        <v>1834</v>
      </c>
      <c r="L836" s="14" t="s">
        <v>281</v>
      </c>
      <c r="M836" s="49" t="str">
        <f>+VLOOKUP(C836,'[1]Table 1'!$B:$B,1,0)</f>
        <v>4600022667-001-03350-ESPME-00001</v>
      </c>
    </row>
    <row r="837" spans="1:13" ht="13.5" hidden="1" customHeight="1">
      <c r="A837" s="14">
        <f t="shared" si="12"/>
        <v>830</v>
      </c>
      <c r="B837" s="15" t="s">
        <v>1868</v>
      </c>
      <c r="C837" s="15" t="s">
        <v>1869</v>
      </c>
      <c r="D837" s="2" t="s">
        <v>1870</v>
      </c>
      <c r="E837" s="16">
        <v>1</v>
      </c>
      <c r="F837" s="17">
        <v>45345</v>
      </c>
      <c r="G837" s="18" t="s">
        <v>8</v>
      </c>
      <c r="H837" s="18" t="s">
        <v>36</v>
      </c>
      <c r="I837" s="19">
        <v>26</v>
      </c>
      <c r="J837" s="18" t="s">
        <v>1753</v>
      </c>
      <c r="K837" s="19" t="s">
        <v>1834</v>
      </c>
      <c r="L837" s="14" t="s">
        <v>281</v>
      </c>
      <c r="M837" s="49" t="str">
        <f>+VLOOKUP(C837,'[1]Table 1'!$B:$B,1,0)</f>
        <v>4600022667-001-03350-ESPME-00002</v>
      </c>
    </row>
    <row r="838" spans="1:13" ht="13.5" hidden="1" customHeight="1">
      <c r="A838" s="20">
        <f t="shared" si="12"/>
        <v>831</v>
      </c>
      <c r="B838" s="21" t="s">
        <v>1871</v>
      </c>
      <c r="C838" s="21" t="s">
        <v>1872</v>
      </c>
      <c r="D838" s="1" t="s">
        <v>1873</v>
      </c>
      <c r="E838" s="22">
        <v>0</v>
      </c>
      <c r="F838" s="23">
        <v>45345</v>
      </c>
      <c r="G838" s="24" t="s">
        <v>8</v>
      </c>
      <c r="H838" s="24" t="s">
        <v>49</v>
      </c>
      <c r="I838" s="25">
        <v>39</v>
      </c>
      <c r="J838" s="24" t="s">
        <v>1753</v>
      </c>
      <c r="K838" s="25" t="s">
        <v>1834</v>
      </c>
      <c r="L838" s="14" t="s">
        <v>281</v>
      </c>
      <c r="M838" s="49" t="str">
        <f>+VLOOKUP(C838,'[1]Table 1'!$B:$B,1,0)</f>
        <v>4600022667-001-03350-ESPME-00003</v>
      </c>
    </row>
    <row r="839" spans="1:13" ht="13.5" hidden="1" customHeight="1">
      <c r="A839" s="14">
        <f t="shared" si="12"/>
        <v>832</v>
      </c>
      <c r="B839" s="15" t="s">
        <v>1874</v>
      </c>
      <c r="C839" s="15" t="s">
        <v>1875</v>
      </c>
      <c r="D839" s="2" t="s">
        <v>1876</v>
      </c>
      <c r="E839" s="16">
        <v>0</v>
      </c>
      <c r="F839" s="17">
        <v>45345</v>
      </c>
      <c r="G839" s="18" t="s">
        <v>8</v>
      </c>
      <c r="H839" s="18" t="s">
        <v>36</v>
      </c>
      <c r="I839" s="19">
        <v>26</v>
      </c>
      <c r="J839" s="18" t="s">
        <v>1753</v>
      </c>
      <c r="K839" s="19" t="s">
        <v>1834</v>
      </c>
      <c r="L839" s="14" t="s">
        <v>281</v>
      </c>
      <c r="M839" s="49" t="str">
        <f>+VLOOKUP(C839,'[1]Table 1'!$B:$B,1,0)</f>
        <v>4600022667-001-03350-ESPME-00004</v>
      </c>
    </row>
    <row r="840" spans="1:13" ht="13.5" hidden="1" customHeight="1">
      <c r="A840" s="14">
        <f t="shared" si="12"/>
        <v>833</v>
      </c>
      <c r="B840" s="15" t="s">
        <v>1877</v>
      </c>
      <c r="C840" s="15" t="s">
        <v>1878</v>
      </c>
      <c r="D840" s="2" t="s">
        <v>1879</v>
      </c>
      <c r="E840" s="16">
        <v>0</v>
      </c>
      <c r="F840" s="17">
        <v>45345</v>
      </c>
      <c r="G840" s="18" t="s">
        <v>8</v>
      </c>
      <c r="H840" s="18" t="s">
        <v>36</v>
      </c>
      <c r="I840" s="19">
        <v>20</v>
      </c>
      <c r="J840" s="18" t="s">
        <v>1753</v>
      </c>
      <c r="K840" s="19" t="s">
        <v>1834</v>
      </c>
      <c r="L840" s="14" t="s">
        <v>281</v>
      </c>
      <c r="M840" s="49" t="str">
        <f>+VLOOKUP(C840,'[1]Table 1'!$B:$B,1,0)</f>
        <v>4600022667-001-03350-ESPME-00005</v>
      </c>
    </row>
    <row r="841" spans="1:13" ht="13.5" hidden="1" customHeight="1">
      <c r="A841" s="14">
        <f t="shared" si="12"/>
        <v>834</v>
      </c>
      <c r="B841" s="15" t="s">
        <v>1880</v>
      </c>
      <c r="C841" s="15" t="s">
        <v>1881</v>
      </c>
      <c r="D841" s="2" t="s">
        <v>1882</v>
      </c>
      <c r="E841" s="16">
        <v>1</v>
      </c>
      <c r="F841" s="17">
        <v>45345</v>
      </c>
      <c r="G841" s="18" t="s">
        <v>8</v>
      </c>
      <c r="H841" s="18" t="s">
        <v>36</v>
      </c>
      <c r="I841" s="19">
        <v>38</v>
      </c>
      <c r="J841" s="18" t="s">
        <v>1753</v>
      </c>
      <c r="K841" s="19" t="s">
        <v>1834</v>
      </c>
      <c r="L841" s="14" t="s">
        <v>281</v>
      </c>
      <c r="M841" s="49" t="str">
        <f>+VLOOKUP(C841,'[1]Table 1'!$B:$B,1,0)</f>
        <v>4600022667-001-03350-ESPME-00006</v>
      </c>
    </row>
    <row r="842" spans="1:13" ht="13.5" hidden="1" customHeight="1">
      <c r="A842" s="14">
        <f t="shared" si="12"/>
        <v>835</v>
      </c>
      <c r="B842" s="15" t="s">
        <v>1883</v>
      </c>
      <c r="C842" s="15" t="s">
        <v>1884</v>
      </c>
      <c r="D842" s="2" t="s">
        <v>1885</v>
      </c>
      <c r="E842" s="16">
        <v>0</v>
      </c>
      <c r="F842" s="17">
        <v>45345</v>
      </c>
      <c r="G842" s="18" t="s">
        <v>8</v>
      </c>
      <c r="H842" s="18" t="s">
        <v>36</v>
      </c>
      <c r="I842" s="19">
        <v>20</v>
      </c>
      <c r="J842" s="18" t="s">
        <v>1753</v>
      </c>
      <c r="K842" s="19" t="s">
        <v>1834</v>
      </c>
      <c r="L842" s="14" t="s">
        <v>281</v>
      </c>
      <c r="M842" s="49" t="str">
        <f>+VLOOKUP(C842,'[1]Table 1'!$B:$B,1,0)</f>
        <v>4600022667-001-03350-ESPME-00007</v>
      </c>
    </row>
    <row r="843" spans="1:13" ht="13.5" hidden="1" customHeight="1">
      <c r="A843" s="14">
        <f t="shared" si="12"/>
        <v>836</v>
      </c>
      <c r="B843" s="15" t="s">
        <v>1886</v>
      </c>
      <c r="C843" s="15" t="s">
        <v>1887</v>
      </c>
      <c r="D843" s="2" t="s">
        <v>1888</v>
      </c>
      <c r="E843" s="16">
        <v>0</v>
      </c>
      <c r="F843" s="17">
        <v>45345</v>
      </c>
      <c r="G843" s="18" t="s">
        <v>9</v>
      </c>
      <c r="H843" s="18" t="s">
        <v>36</v>
      </c>
      <c r="I843" s="19">
        <v>11</v>
      </c>
      <c r="J843" s="18" t="s">
        <v>1753</v>
      </c>
      <c r="K843" s="19" t="s">
        <v>1834</v>
      </c>
      <c r="L843" s="14" t="s">
        <v>281</v>
      </c>
      <c r="M843" s="49" t="str">
        <f>+VLOOKUP(C843,'[1]Table 1'!$B:$B,1,0)</f>
        <v>4600022667-001-03350-HDDME-00001</v>
      </c>
    </row>
    <row r="844" spans="1:13" ht="13.5" hidden="1" customHeight="1">
      <c r="A844" s="14">
        <f t="shared" si="12"/>
        <v>837</v>
      </c>
      <c r="B844" s="15" t="s">
        <v>1889</v>
      </c>
      <c r="C844" s="15" t="s">
        <v>1890</v>
      </c>
      <c r="D844" s="2" t="s">
        <v>1891</v>
      </c>
      <c r="E844" s="16">
        <v>0</v>
      </c>
      <c r="F844" s="17">
        <v>45345</v>
      </c>
      <c r="G844" s="18" t="s">
        <v>9</v>
      </c>
      <c r="H844" s="18" t="s">
        <v>36</v>
      </c>
      <c r="I844" s="19">
        <v>11</v>
      </c>
      <c r="J844" s="18" t="s">
        <v>1753</v>
      </c>
      <c r="K844" s="19" t="s">
        <v>1834</v>
      </c>
      <c r="L844" s="14" t="s">
        <v>281</v>
      </c>
      <c r="M844" s="49" t="str">
        <f>+VLOOKUP(C844,'[1]Table 1'!$B:$B,1,0)</f>
        <v>4600022667-001-03350-HDDME-00002</v>
      </c>
    </row>
    <row r="845" spans="1:13" ht="13.5" hidden="1" customHeight="1">
      <c r="A845" s="14">
        <f t="shared" si="12"/>
        <v>838</v>
      </c>
      <c r="B845" s="15" t="s">
        <v>1892</v>
      </c>
      <c r="C845" s="15" t="s">
        <v>1893</v>
      </c>
      <c r="D845" s="2" t="s">
        <v>1894</v>
      </c>
      <c r="E845" s="16">
        <v>0</v>
      </c>
      <c r="F845" s="17">
        <v>45345</v>
      </c>
      <c r="G845" s="18" t="s">
        <v>9</v>
      </c>
      <c r="H845" s="18" t="s">
        <v>36</v>
      </c>
      <c r="I845" s="19">
        <v>11</v>
      </c>
      <c r="J845" s="18" t="s">
        <v>1753</v>
      </c>
      <c r="K845" s="19" t="s">
        <v>1834</v>
      </c>
      <c r="L845" s="14" t="s">
        <v>281</v>
      </c>
      <c r="M845" s="49" t="str">
        <f>+VLOOKUP(C845,'[1]Table 1'!$B:$B,1,0)</f>
        <v>4600022667-001-03350-HDDME-00003</v>
      </c>
    </row>
    <row r="846" spans="1:13" ht="13.5" hidden="1" customHeight="1">
      <c r="A846" s="14">
        <f t="shared" si="12"/>
        <v>839</v>
      </c>
      <c r="B846" s="15" t="s">
        <v>1895</v>
      </c>
      <c r="C846" s="15" t="s">
        <v>1896</v>
      </c>
      <c r="D846" s="2" t="s">
        <v>1897</v>
      </c>
      <c r="E846" s="16">
        <v>1</v>
      </c>
      <c r="F846" s="17">
        <v>45345</v>
      </c>
      <c r="G846" s="18" t="s">
        <v>9</v>
      </c>
      <c r="H846" s="18" t="s">
        <v>36</v>
      </c>
      <c r="I846" s="19">
        <v>15</v>
      </c>
      <c r="J846" s="18" t="s">
        <v>1753</v>
      </c>
      <c r="K846" s="19" t="s">
        <v>1834</v>
      </c>
      <c r="L846" s="14" t="s">
        <v>281</v>
      </c>
      <c r="M846" s="49" t="str">
        <f>+VLOOKUP(C846,'[1]Table 1'!$B:$B,1,0)</f>
        <v>4600022667-001-03350-HDDME-00004</v>
      </c>
    </row>
    <row r="847" spans="1:13" ht="13.5" hidden="1" customHeight="1">
      <c r="A847" s="14">
        <f t="shared" si="12"/>
        <v>840</v>
      </c>
      <c r="B847" s="15" t="s">
        <v>1898</v>
      </c>
      <c r="C847" s="15" t="s">
        <v>1899</v>
      </c>
      <c r="D847" s="2" t="s">
        <v>1900</v>
      </c>
      <c r="E847" s="16">
        <v>0</v>
      </c>
      <c r="F847" s="17">
        <v>45345</v>
      </c>
      <c r="G847" s="18" t="s">
        <v>9</v>
      </c>
      <c r="H847" s="18" t="s">
        <v>36</v>
      </c>
      <c r="I847" s="19">
        <v>38</v>
      </c>
      <c r="J847" s="18" t="s">
        <v>1753</v>
      </c>
      <c r="K847" s="19" t="s">
        <v>1834</v>
      </c>
      <c r="L847" s="14" t="s">
        <v>281</v>
      </c>
      <c r="M847" s="49" t="str">
        <f>+VLOOKUP(C847,'[1]Table 1'!$B:$B,1,0)</f>
        <v>4600022667-001-03350-HDDME-00005</v>
      </c>
    </row>
    <row r="848" spans="1:13" ht="13.5" hidden="1" customHeight="1">
      <c r="A848" s="14">
        <f t="shared" si="12"/>
        <v>841</v>
      </c>
      <c r="B848" s="15" t="s">
        <v>1901</v>
      </c>
      <c r="C848" s="15" t="s">
        <v>1902</v>
      </c>
      <c r="D848" s="2" t="s">
        <v>1903</v>
      </c>
      <c r="E848" s="16">
        <v>0</v>
      </c>
      <c r="F848" s="17">
        <v>45345</v>
      </c>
      <c r="G848" s="18" t="s">
        <v>9</v>
      </c>
      <c r="H848" s="18" t="s">
        <v>36</v>
      </c>
      <c r="I848" s="19">
        <v>17</v>
      </c>
      <c r="J848" s="18" t="s">
        <v>1753</v>
      </c>
      <c r="K848" s="19" t="s">
        <v>1834</v>
      </c>
      <c r="L848" s="14" t="s">
        <v>281</v>
      </c>
      <c r="M848" s="49" t="str">
        <f>+VLOOKUP(C848,'[1]Table 1'!$B:$B,1,0)</f>
        <v>4600022667-001-03350-HDDME-00006</v>
      </c>
    </row>
    <row r="849" spans="1:13" ht="13.5" hidden="1" customHeight="1">
      <c r="A849" s="14">
        <f t="shared" si="12"/>
        <v>842</v>
      </c>
      <c r="B849" s="15" t="s">
        <v>1904</v>
      </c>
      <c r="C849" s="15" t="s">
        <v>1905</v>
      </c>
      <c r="D849" s="2" t="s">
        <v>1906</v>
      </c>
      <c r="E849" s="16">
        <v>0</v>
      </c>
      <c r="F849" s="17">
        <v>45345</v>
      </c>
      <c r="G849" s="18" t="s">
        <v>9</v>
      </c>
      <c r="H849" s="18" t="s">
        <v>36</v>
      </c>
      <c r="I849" s="19">
        <v>13</v>
      </c>
      <c r="J849" s="18" t="s">
        <v>1753</v>
      </c>
      <c r="K849" s="19" t="s">
        <v>1834</v>
      </c>
      <c r="L849" s="14" t="s">
        <v>281</v>
      </c>
      <c r="M849" s="49" t="str">
        <f>+VLOOKUP(C849,'[1]Table 1'!$B:$B,1,0)</f>
        <v>4600022667-001-03350-HDDME-00007</v>
      </c>
    </row>
    <row r="850" spans="1:13" ht="13.5" hidden="1" customHeight="1">
      <c r="A850" s="20">
        <f t="shared" si="12"/>
        <v>843</v>
      </c>
      <c r="B850" s="21" t="s">
        <v>1907</v>
      </c>
      <c r="C850" s="21" t="s">
        <v>1908</v>
      </c>
      <c r="D850" s="1" t="s">
        <v>1909</v>
      </c>
      <c r="E850" s="22" t="s">
        <v>335</v>
      </c>
      <c r="F850" s="23">
        <v>45345</v>
      </c>
      <c r="G850" s="24" t="s">
        <v>11</v>
      </c>
      <c r="H850" s="24" t="s">
        <v>49</v>
      </c>
      <c r="I850" s="25">
        <v>8</v>
      </c>
      <c r="J850" s="24" t="s">
        <v>1753</v>
      </c>
      <c r="K850" s="25" t="s">
        <v>1834</v>
      </c>
      <c r="L850" s="14" t="s">
        <v>281</v>
      </c>
      <c r="M850" s="49" t="str">
        <f>+VLOOKUP(C850,'[1]Table 1'!$B:$B,1,0)</f>
        <v>4600022667-001-03350-LSTME-00001</v>
      </c>
    </row>
    <row r="851" spans="1:13" ht="13.5" hidden="1" customHeight="1">
      <c r="A851" s="14">
        <f t="shared" si="12"/>
        <v>844</v>
      </c>
      <c r="B851" s="15" t="s">
        <v>1910</v>
      </c>
      <c r="C851" s="15" t="s">
        <v>1911</v>
      </c>
      <c r="D851" s="2" t="s">
        <v>1912</v>
      </c>
      <c r="E851" s="16">
        <v>1</v>
      </c>
      <c r="F851" s="17">
        <v>45345</v>
      </c>
      <c r="G851" s="18" t="s">
        <v>11</v>
      </c>
      <c r="H851" s="18" t="s">
        <v>36</v>
      </c>
      <c r="I851" s="19">
        <v>6</v>
      </c>
      <c r="J851" s="18" t="s">
        <v>1753</v>
      </c>
      <c r="K851" s="19" t="s">
        <v>1834</v>
      </c>
      <c r="L851" s="14" t="s">
        <v>281</v>
      </c>
      <c r="M851" s="49" t="str">
        <f>+VLOOKUP(C851,'[1]Table 1'!$B:$B,1,0)</f>
        <v>4600022667-001-03350-LSTME-00002</v>
      </c>
    </row>
    <row r="852" spans="1:13" ht="13.5" hidden="1" customHeight="1">
      <c r="A852" s="20">
        <f t="shared" si="12"/>
        <v>845</v>
      </c>
      <c r="B852" s="21" t="s">
        <v>1913</v>
      </c>
      <c r="C852" s="21" t="s">
        <v>1914</v>
      </c>
      <c r="D852" s="1" t="s">
        <v>1915</v>
      </c>
      <c r="E852" s="22" t="s">
        <v>335</v>
      </c>
      <c r="F852" s="23">
        <v>45345</v>
      </c>
      <c r="G852" s="24" t="s">
        <v>11</v>
      </c>
      <c r="H852" s="24" t="s">
        <v>49</v>
      </c>
      <c r="I852" s="25">
        <v>14</v>
      </c>
      <c r="J852" s="24" t="s">
        <v>1753</v>
      </c>
      <c r="K852" s="25" t="s">
        <v>1834</v>
      </c>
      <c r="L852" s="14" t="s">
        <v>281</v>
      </c>
      <c r="M852" s="49" t="str">
        <f>+VLOOKUP(C852,'[1]Table 1'!$B:$B,1,0)</f>
        <v>4600022667-001-03350-LSTME-00003</v>
      </c>
    </row>
    <row r="853" spans="1:13" ht="13.5" hidden="1" customHeight="1">
      <c r="A853" s="14">
        <f t="shared" si="12"/>
        <v>846</v>
      </c>
      <c r="B853" s="15" t="s">
        <v>1916</v>
      </c>
      <c r="C853" s="15" t="s">
        <v>1917</v>
      </c>
      <c r="D853" s="2" t="s">
        <v>1918</v>
      </c>
      <c r="E853" s="16">
        <v>0</v>
      </c>
      <c r="F853" s="17">
        <v>45345</v>
      </c>
      <c r="G853" s="18" t="s">
        <v>600</v>
      </c>
      <c r="H853" s="18" t="s">
        <v>36</v>
      </c>
      <c r="I853" s="19">
        <v>26</v>
      </c>
      <c r="J853" s="18" t="s">
        <v>1753</v>
      </c>
      <c r="K853" s="19" t="s">
        <v>1834</v>
      </c>
      <c r="L853" s="14" t="s">
        <v>281</v>
      </c>
      <c r="M853" s="49" t="str">
        <f>+VLOOKUP(C853,'[1]Table 1'!$B:$B,1,0)</f>
        <v>4600022667-001-03350-MDCME-00002</v>
      </c>
    </row>
    <row r="854" spans="1:13" ht="13.5" hidden="1" customHeight="1">
      <c r="A854" s="14">
        <f t="shared" si="12"/>
        <v>847</v>
      </c>
      <c r="B854" s="15" t="s">
        <v>1919</v>
      </c>
      <c r="C854" s="15" t="s">
        <v>1920</v>
      </c>
      <c r="D854" s="2" t="s">
        <v>1921</v>
      </c>
      <c r="E854" s="16">
        <v>1</v>
      </c>
      <c r="F854" s="17">
        <v>45345</v>
      </c>
      <c r="G854" s="18" t="s">
        <v>600</v>
      </c>
      <c r="H854" s="18" t="s">
        <v>36</v>
      </c>
      <c r="I854" s="19">
        <v>12</v>
      </c>
      <c r="J854" s="18" t="s">
        <v>1753</v>
      </c>
      <c r="K854" s="19" t="s">
        <v>1834</v>
      </c>
      <c r="L854" s="14" t="s">
        <v>281</v>
      </c>
      <c r="M854" s="49" t="str">
        <f>+VLOOKUP(C854,'[1]Table 1'!$B:$B,1,0)</f>
        <v>4600022667-001-03350-MDCME-00004</v>
      </c>
    </row>
    <row r="855" spans="1:13" ht="13.5" hidden="1" customHeight="1">
      <c r="A855" s="14">
        <f t="shared" si="12"/>
        <v>848</v>
      </c>
      <c r="B855" s="15" t="s">
        <v>1922</v>
      </c>
      <c r="C855" s="15" t="s">
        <v>1923</v>
      </c>
      <c r="D855" s="2" t="s">
        <v>1924</v>
      </c>
      <c r="E855" s="16">
        <v>0</v>
      </c>
      <c r="F855" s="17">
        <v>45345</v>
      </c>
      <c r="G855" s="18" t="s">
        <v>600</v>
      </c>
      <c r="H855" s="18" t="s">
        <v>36</v>
      </c>
      <c r="I855" s="19">
        <v>8</v>
      </c>
      <c r="J855" s="18" t="s">
        <v>1753</v>
      </c>
      <c r="K855" s="19" t="s">
        <v>1834</v>
      </c>
      <c r="L855" s="14" t="s">
        <v>281</v>
      </c>
      <c r="M855" s="49" t="str">
        <f>+VLOOKUP(C855,'[1]Table 1'!$B:$B,1,0)</f>
        <v>4600022667-001-03350-MDCME-00005</v>
      </c>
    </row>
    <row r="856" spans="1:13" ht="13.5" hidden="1" customHeight="1">
      <c r="A856" s="14">
        <f t="shared" si="12"/>
        <v>849</v>
      </c>
      <c r="B856" s="15" t="s">
        <v>1925</v>
      </c>
      <c r="C856" s="15" t="s">
        <v>1926</v>
      </c>
      <c r="D856" s="2" t="s">
        <v>1927</v>
      </c>
      <c r="E856" s="16">
        <v>0</v>
      </c>
      <c r="F856" s="17">
        <v>45345</v>
      </c>
      <c r="G856" s="18" t="s">
        <v>14</v>
      </c>
      <c r="H856" s="18" t="s">
        <v>36</v>
      </c>
      <c r="I856" s="19">
        <v>1</v>
      </c>
      <c r="J856" s="18" t="s">
        <v>517</v>
      </c>
      <c r="K856" s="19" t="s">
        <v>1928</v>
      </c>
      <c r="L856" s="14" t="s">
        <v>281</v>
      </c>
      <c r="M856" s="49" t="str">
        <f>+VLOOKUP(C856,'[1]Table 1'!$B:$B,1,0)</f>
        <v>4600022667-001-03350-202PR-00001</v>
      </c>
    </row>
    <row r="857" spans="1:13" ht="13.5" hidden="1" customHeight="1">
      <c r="A857" s="14">
        <f t="shared" si="12"/>
        <v>850</v>
      </c>
      <c r="B857" s="15" t="s">
        <v>1929</v>
      </c>
      <c r="C857" s="15" t="s">
        <v>1930</v>
      </c>
      <c r="D857" s="2" t="s">
        <v>1931</v>
      </c>
      <c r="E857" s="16">
        <v>0</v>
      </c>
      <c r="F857" s="17">
        <v>45345</v>
      </c>
      <c r="G857" s="18" t="s">
        <v>14</v>
      </c>
      <c r="H857" s="18" t="s">
        <v>36</v>
      </c>
      <c r="I857" s="19">
        <v>1</v>
      </c>
      <c r="J857" s="18" t="s">
        <v>517</v>
      </c>
      <c r="K857" s="19" t="s">
        <v>1928</v>
      </c>
      <c r="L857" s="14" t="s">
        <v>281</v>
      </c>
      <c r="M857" s="49" t="str">
        <f>+VLOOKUP(C857,'[1]Table 1'!$B:$B,1,0)</f>
        <v>4600022667-001-03350-500PR-00001</v>
      </c>
    </row>
    <row r="858" spans="1:13" ht="13.5" hidden="1" customHeight="1">
      <c r="A858" s="14">
        <f t="shared" si="12"/>
        <v>851</v>
      </c>
      <c r="B858" s="15" t="s">
        <v>1932</v>
      </c>
      <c r="C858" s="15" t="s">
        <v>1933</v>
      </c>
      <c r="D858" s="2" t="s">
        <v>1934</v>
      </c>
      <c r="E858" s="16">
        <v>1</v>
      </c>
      <c r="F858" s="17">
        <v>45345</v>
      </c>
      <c r="G858" s="18" t="s">
        <v>6</v>
      </c>
      <c r="H858" s="18" t="s">
        <v>36</v>
      </c>
      <c r="I858" s="19">
        <v>11</v>
      </c>
      <c r="J858" s="18" t="s">
        <v>517</v>
      </c>
      <c r="K858" s="19" t="s">
        <v>1928</v>
      </c>
      <c r="L858" s="14" t="s">
        <v>281</v>
      </c>
      <c r="M858" s="49" t="str">
        <f>+VLOOKUP(C858,'[1]Table 1'!$B:$B,1,0)</f>
        <v>4600022667-001-03350-CRDPR-00001</v>
      </c>
    </row>
    <row r="859" spans="1:13" ht="13.5" hidden="1" customHeight="1">
      <c r="A859" s="14">
        <f t="shared" si="12"/>
        <v>852</v>
      </c>
      <c r="B859" s="15" t="s">
        <v>1935</v>
      </c>
      <c r="C859" s="15" t="s">
        <v>1936</v>
      </c>
      <c r="D859" s="2" t="s">
        <v>1937</v>
      </c>
      <c r="E859" s="16">
        <v>2</v>
      </c>
      <c r="F859" s="17">
        <v>45345</v>
      </c>
      <c r="G859" s="18" t="s">
        <v>10</v>
      </c>
      <c r="H859" s="18" t="s">
        <v>36</v>
      </c>
      <c r="I859" s="19">
        <v>11</v>
      </c>
      <c r="J859" s="18" t="s">
        <v>517</v>
      </c>
      <c r="K859" s="19" t="s">
        <v>1928</v>
      </c>
      <c r="L859" s="14" t="s">
        <v>281</v>
      </c>
      <c r="M859" s="49" t="str">
        <f>+VLOOKUP(C859,'[1]Table 1'!$B:$B,1,0)</f>
        <v>4600022667-001-03350-INFPR-00001</v>
      </c>
    </row>
    <row r="860" spans="1:13" ht="13.5" hidden="1" customHeight="1">
      <c r="A860" s="14">
        <f t="shared" si="12"/>
        <v>853</v>
      </c>
      <c r="B860" s="15" t="s">
        <v>1938</v>
      </c>
      <c r="C860" s="15" t="s">
        <v>1939</v>
      </c>
      <c r="D860" s="2" t="s">
        <v>1940</v>
      </c>
      <c r="E860" s="16">
        <v>0</v>
      </c>
      <c r="F860" s="17">
        <v>45345</v>
      </c>
      <c r="G860" s="18" t="s">
        <v>600</v>
      </c>
      <c r="H860" s="18" t="s">
        <v>36</v>
      </c>
      <c r="I860" s="19">
        <v>9</v>
      </c>
      <c r="J860" s="18" t="s">
        <v>517</v>
      </c>
      <c r="K860" s="19" t="s">
        <v>1928</v>
      </c>
      <c r="L860" s="14" t="s">
        <v>281</v>
      </c>
      <c r="M860" s="49" t="str">
        <f>+VLOOKUP(C860,'[1]Table 1'!$B:$B,1,0)</f>
        <v>4600022667-001-03350-MDCPR-00001</v>
      </c>
    </row>
    <row r="861" spans="1:13" ht="13.5" hidden="1" customHeight="1">
      <c r="A861" s="10"/>
      <c r="B861" s="11" t="s">
        <v>1941</v>
      </c>
      <c r="C861" s="11"/>
      <c r="D861" s="11"/>
      <c r="E861" s="12"/>
      <c r="F861" s="11"/>
      <c r="G861" s="11"/>
      <c r="H861" s="12"/>
      <c r="I861" s="12"/>
      <c r="J861" s="11"/>
      <c r="K861" s="13"/>
      <c r="L861" s="50"/>
      <c r="M861" s="49"/>
    </row>
    <row r="862" spans="1:13" ht="13.5" hidden="1" customHeight="1">
      <c r="A862" s="14">
        <f t="shared" ref="A862:A925" si="13">ROW()-7</f>
        <v>855</v>
      </c>
      <c r="B862" s="15" t="s">
        <v>1942</v>
      </c>
      <c r="C862" s="15"/>
      <c r="D862" s="2" t="s">
        <v>1943</v>
      </c>
      <c r="E862" s="16" t="s">
        <v>34</v>
      </c>
      <c r="F862" s="17">
        <v>45349</v>
      </c>
      <c r="G862" s="18" t="s">
        <v>35</v>
      </c>
      <c r="H862" s="18" t="s">
        <v>36</v>
      </c>
      <c r="I862" s="19" t="s">
        <v>34</v>
      </c>
      <c r="J862" s="18" t="s">
        <v>37</v>
      </c>
      <c r="K862" s="19"/>
      <c r="L862" s="14" t="s">
        <v>38</v>
      </c>
      <c r="M862" s="49"/>
    </row>
    <row r="863" spans="1:13" ht="13.5" hidden="1" customHeight="1">
      <c r="A863" s="14">
        <f t="shared" si="13"/>
        <v>856</v>
      </c>
      <c r="B863" s="15" t="s">
        <v>1944</v>
      </c>
      <c r="C863" s="15"/>
      <c r="D863" s="2" t="s">
        <v>1945</v>
      </c>
      <c r="E863" s="16">
        <v>0</v>
      </c>
      <c r="F863" s="17">
        <v>45349</v>
      </c>
      <c r="G863" s="18" t="s">
        <v>94</v>
      </c>
      <c r="H863" s="18" t="s">
        <v>36</v>
      </c>
      <c r="I863" s="19">
        <v>4</v>
      </c>
      <c r="J863" s="18" t="s">
        <v>37</v>
      </c>
      <c r="K863" s="19"/>
      <c r="L863" s="14" t="s">
        <v>38</v>
      </c>
      <c r="M863" s="49"/>
    </row>
    <row r="864" spans="1:13" ht="13.5" hidden="1" customHeight="1">
      <c r="A864" s="14">
        <f t="shared" si="13"/>
        <v>857</v>
      </c>
      <c r="B864" s="15" t="s">
        <v>1946</v>
      </c>
      <c r="C864" s="15"/>
      <c r="D864" s="2" t="s">
        <v>1947</v>
      </c>
      <c r="E864" s="16" t="s">
        <v>34</v>
      </c>
      <c r="F864" s="17">
        <v>45349</v>
      </c>
      <c r="G864" s="18" t="s">
        <v>1948</v>
      </c>
      <c r="H864" s="18" t="s">
        <v>36</v>
      </c>
      <c r="I864" s="19">
        <v>1</v>
      </c>
      <c r="J864" s="18" t="s">
        <v>37</v>
      </c>
      <c r="K864" s="19"/>
      <c r="L864" s="14" t="s">
        <v>38</v>
      </c>
      <c r="M864" s="49"/>
    </row>
    <row r="865" spans="1:13" ht="13.5" hidden="1" customHeight="1">
      <c r="A865" s="10"/>
      <c r="B865" s="11" t="s">
        <v>1949</v>
      </c>
      <c r="C865" s="11"/>
      <c r="D865" s="11"/>
      <c r="E865" s="12"/>
      <c r="F865" s="11"/>
      <c r="G865" s="11"/>
      <c r="H865" s="12"/>
      <c r="I865" s="12"/>
      <c r="J865" s="11"/>
      <c r="K865" s="13"/>
      <c r="L865" s="50"/>
      <c r="M865" s="49"/>
    </row>
    <row r="866" spans="1:13" ht="13.5" hidden="1" customHeight="1">
      <c r="A866" s="14">
        <f t="shared" si="13"/>
        <v>859</v>
      </c>
      <c r="B866" s="15" t="s">
        <v>1950</v>
      </c>
      <c r="C866" s="15"/>
      <c r="D866" s="2" t="s">
        <v>1951</v>
      </c>
      <c r="E866" s="16" t="s">
        <v>34</v>
      </c>
      <c r="F866" s="17">
        <v>45351</v>
      </c>
      <c r="G866" s="18" t="s">
        <v>35</v>
      </c>
      <c r="H866" s="18" t="s">
        <v>36</v>
      </c>
      <c r="I866" s="19" t="s">
        <v>34</v>
      </c>
      <c r="J866" s="18" t="s">
        <v>37</v>
      </c>
      <c r="K866" s="19"/>
      <c r="L866" s="14" t="s">
        <v>38</v>
      </c>
      <c r="M866" s="49"/>
    </row>
    <row r="867" spans="1:13" ht="13.5" hidden="1" customHeight="1">
      <c r="A867" s="14">
        <f t="shared" si="13"/>
        <v>860</v>
      </c>
      <c r="B867" s="15" t="s">
        <v>1952</v>
      </c>
      <c r="C867" s="15"/>
      <c r="D867" s="2" t="s">
        <v>1953</v>
      </c>
      <c r="E867" s="16">
        <v>0</v>
      </c>
      <c r="F867" s="17">
        <v>45351</v>
      </c>
      <c r="G867" s="18" t="s">
        <v>94</v>
      </c>
      <c r="H867" s="18" t="s">
        <v>36</v>
      </c>
      <c r="I867" s="19">
        <v>4</v>
      </c>
      <c r="J867" s="18" t="s">
        <v>37</v>
      </c>
      <c r="K867" s="19"/>
      <c r="L867" s="14" t="s">
        <v>38</v>
      </c>
      <c r="M867" s="49"/>
    </row>
    <row r="868" spans="1:13" ht="13.5" hidden="1" customHeight="1">
      <c r="A868" s="10"/>
      <c r="B868" s="11" t="s">
        <v>1954</v>
      </c>
      <c r="C868" s="11"/>
      <c r="D868" s="11"/>
      <c r="E868" s="12"/>
      <c r="F868" s="11"/>
      <c r="G868" s="11"/>
      <c r="H868" s="12"/>
      <c r="I868" s="12"/>
      <c r="J868" s="11"/>
      <c r="K868" s="13"/>
      <c r="L868" s="50"/>
      <c r="M868" s="49"/>
    </row>
    <row r="869" spans="1:13" ht="13.5" hidden="1" customHeight="1">
      <c r="A869" s="14">
        <f t="shared" si="13"/>
        <v>862</v>
      </c>
      <c r="B869" s="15" t="s">
        <v>1955</v>
      </c>
      <c r="C869" s="15"/>
      <c r="D869" s="2" t="s">
        <v>1956</v>
      </c>
      <c r="E869" s="16" t="s">
        <v>34</v>
      </c>
      <c r="F869" s="17">
        <v>45352</v>
      </c>
      <c r="G869" s="18" t="s">
        <v>35</v>
      </c>
      <c r="H869" s="18" t="s">
        <v>36</v>
      </c>
      <c r="I869" s="19" t="s">
        <v>34</v>
      </c>
      <c r="J869" s="18" t="s">
        <v>37</v>
      </c>
      <c r="K869" s="19"/>
      <c r="L869" s="14" t="s">
        <v>38</v>
      </c>
      <c r="M869" s="49"/>
    </row>
    <row r="870" spans="1:13" ht="13.5" hidden="1" customHeight="1">
      <c r="A870" s="26">
        <f t="shared" si="13"/>
        <v>863</v>
      </c>
      <c r="B870" s="27" t="s">
        <v>89</v>
      </c>
      <c r="C870" s="27"/>
      <c r="D870" s="28" t="s">
        <v>90</v>
      </c>
      <c r="E870" s="29" t="s">
        <v>34</v>
      </c>
      <c r="F870" s="30">
        <v>45352</v>
      </c>
      <c r="G870" s="31" t="s">
        <v>41</v>
      </c>
      <c r="H870" s="31" t="s">
        <v>36</v>
      </c>
      <c r="I870" s="32" t="s">
        <v>34</v>
      </c>
      <c r="J870" s="31" t="s">
        <v>91</v>
      </c>
      <c r="K870" s="32"/>
      <c r="L870" s="14" t="s">
        <v>38</v>
      </c>
      <c r="M870" s="49"/>
    </row>
    <row r="871" spans="1:13" ht="13.5" hidden="1" customHeight="1">
      <c r="A871" s="10"/>
      <c r="B871" s="11" t="s">
        <v>1957</v>
      </c>
      <c r="C871" s="11"/>
      <c r="D871" s="11"/>
      <c r="E871" s="12"/>
      <c r="F871" s="11"/>
      <c r="G871" s="11"/>
      <c r="H871" s="12"/>
      <c r="I871" s="12"/>
      <c r="J871" s="11"/>
      <c r="K871" s="13"/>
      <c r="L871" s="50"/>
      <c r="M871" s="49"/>
    </row>
    <row r="872" spans="1:13" ht="13.5" hidden="1" customHeight="1">
      <c r="A872" s="14">
        <f t="shared" si="13"/>
        <v>865</v>
      </c>
      <c r="B872" s="15" t="s">
        <v>1958</v>
      </c>
      <c r="C872" s="15"/>
      <c r="D872" s="2" t="s">
        <v>1959</v>
      </c>
      <c r="E872" s="16" t="s">
        <v>34</v>
      </c>
      <c r="F872" s="17">
        <v>45378</v>
      </c>
      <c r="G872" s="18" t="s">
        <v>35</v>
      </c>
      <c r="H872" s="18" t="s">
        <v>36</v>
      </c>
      <c r="I872" s="19" t="s">
        <v>34</v>
      </c>
      <c r="J872" s="18" t="s">
        <v>37</v>
      </c>
      <c r="K872" s="19"/>
      <c r="L872" s="14" t="s">
        <v>38</v>
      </c>
      <c r="M872" s="49"/>
    </row>
    <row r="873" spans="1:13" ht="13.5" hidden="1" customHeight="1">
      <c r="A873" s="14">
        <f t="shared" si="13"/>
        <v>866</v>
      </c>
      <c r="B873" s="15" t="s">
        <v>1960</v>
      </c>
      <c r="C873" s="15"/>
      <c r="D873" s="2" t="s">
        <v>1961</v>
      </c>
      <c r="E873" s="16" t="s">
        <v>34</v>
      </c>
      <c r="F873" s="17">
        <v>45378</v>
      </c>
      <c r="G873" s="18" t="s">
        <v>11</v>
      </c>
      <c r="H873" s="18" t="s">
        <v>36</v>
      </c>
      <c r="I873" s="19" t="s">
        <v>34</v>
      </c>
      <c r="J873" s="18" t="s">
        <v>91</v>
      </c>
      <c r="K873" s="19"/>
      <c r="L873" s="14" t="s">
        <v>38</v>
      </c>
      <c r="M873" s="49"/>
    </row>
    <row r="874" spans="1:13" ht="13.5" hidden="1" customHeight="1">
      <c r="A874" s="26">
        <f t="shared" si="13"/>
        <v>867</v>
      </c>
      <c r="B874" s="27" t="s">
        <v>453</v>
      </c>
      <c r="C874" s="27" t="s">
        <v>453</v>
      </c>
      <c r="D874" s="28" t="s">
        <v>454</v>
      </c>
      <c r="E874" s="29">
        <v>1</v>
      </c>
      <c r="F874" s="30">
        <v>45378</v>
      </c>
      <c r="G874" s="31" t="s">
        <v>9</v>
      </c>
      <c r="H874" s="31" t="s">
        <v>36</v>
      </c>
      <c r="I874" s="32">
        <v>13</v>
      </c>
      <c r="J874" s="31" t="s">
        <v>324</v>
      </c>
      <c r="K874" s="32" t="s">
        <v>1962</v>
      </c>
      <c r="L874" s="14" t="s">
        <v>281</v>
      </c>
      <c r="M874" s="49" t="str">
        <f>+VLOOKUP(C874,'[1]Table 1'!$B:$B,1,0)</f>
        <v>4600022667-001-03350-HDDAT-00001</v>
      </c>
    </row>
    <row r="875" spans="1:13" ht="13.5" customHeight="1">
      <c r="A875" s="14">
        <f t="shared" si="13"/>
        <v>868</v>
      </c>
      <c r="B875" s="15" t="s">
        <v>1963</v>
      </c>
      <c r="C875" s="15" t="s">
        <v>1963</v>
      </c>
      <c r="D875" s="2" t="s">
        <v>1964</v>
      </c>
      <c r="E875" s="16" t="s">
        <v>34</v>
      </c>
      <c r="F875" s="17">
        <v>45378</v>
      </c>
      <c r="G875" s="18" t="s">
        <v>11</v>
      </c>
      <c r="H875" s="18" t="s">
        <v>36</v>
      </c>
      <c r="I875" s="19">
        <v>1</v>
      </c>
      <c r="J875" s="18" t="s">
        <v>1753</v>
      </c>
      <c r="K875" s="19" t="s">
        <v>1962</v>
      </c>
      <c r="L875" s="14" t="s">
        <v>1965</v>
      </c>
      <c r="M875" s="49" t="e">
        <f>+VLOOKUP(C875,'[1]Table 1'!$B:$B,1,0)</f>
        <v>#N/A</v>
      </c>
    </row>
    <row r="876" spans="1:13" ht="13.5" hidden="1" customHeight="1">
      <c r="A876" s="14">
        <f t="shared" si="13"/>
        <v>869</v>
      </c>
      <c r="B876" s="15" t="s">
        <v>1966</v>
      </c>
      <c r="C876" s="15" t="s">
        <v>1966</v>
      </c>
      <c r="D876" s="2" t="s">
        <v>1967</v>
      </c>
      <c r="E876" s="16" t="s">
        <v>34</v>
      </c>
      <c r="F876" s="17">
        <v>45378</v>
      </c>
      <c r="G876" s="18" t="s">
        <v>14</v>
      </c>
      <c r="H876" s="18" t="s">
        <v>36</v>
      </c>
      <c r="I876" s="19">
        <v>1</v>
      </c>
      <c r="J876" s="18" t="s">
        <v>37</v>
      </c>
      <c r="K876" s="19" t="s">
        <v>1962</v>
      </c>
      <c r="L876" s="14" t="s">
        <v>38</v>
      </c>
      <c r="M876" s="49" t="e">
        <f>+VLOOKUP(C876,'[1]Table 1'!$B:$B,1,0)</f>
        <v>#N/A</v>
      </c>
    </row>
    <row r="877" spans="1:13" ht="13.5" hidden="1" customHeight="1">
      <c r="A877" s="14">
        <f t="shared" si="13"/>
        <v>870</v>
      </c>
      <c r="B877" s="15" t="s">
        <v>1968</v>
      </c>
      <c r="C877" s="15" t="s">
        <v>1968</v>
      </c>
      <c r="D877" s="2" t="s">
        <v>1969</v>
      </c>
      <c r="E877" s="16" t="s">
        <v>34</v>
      </c>
      <c r="F877" s="17">
        <v>45378</v>
      </c>
      <c r="G877" s="18" t="s">
        <v>14</v>
      </c>
      <c r="H877" s="18" t="s">
        <v>36</v>
      </c>
      <c r="I877" s="19">
        <v>1</v>
      </c>
      <c r="J877" s="18" t="s">
        <v>37</v>
      </c>
      <c r="K877" s="19" t="s">
        <v>1962</v>
      </c>
      <c r="L877" s="14" t="s">
        <v>38</v>
      </c>
      <c r="M877" s="49" t="e">
        <f>+VLOOKUP(C877,'[1]Table 1'!$B:$B,1,0)</f>
        <v>#N/A</v>
      </c>
    </row>
    <row r="878" spans="1:13" ht="13.5" hidden="1" customHeight="1">
      <c r="A878" s="14">
        <f t="shared" si="13"/>
        <v>871</v>
      </c>
      <c r="B878" s="15" t="s">
        <v>1970</v>
      </c>
      <c r="C878" s="15" t="s">
        <v>1970</v>
      </c>
      <c r="D878" s="2" t="s">
        <v>1971</v>
      </c>
      <c r="E878" s="16" t="s">
        <v>34</v>
      </c>
      <c r="F878" s="17">
        <v>45378</v>
      </c>
      <c r="G878" s="18" t="s">
        <v>14</v>
      </c>
      <c r="H878" s="18" t="s">
        <v>36</v>
      </c>
      <c r="I878" s="19">
        <v>1</v>
      </c>
      <c r="J878" s="18" t="s">
        <v>37</v>
      </c>
      <c r="K878" s="19" t="s">
        <v>1962</v>
      </c>
      <c r="L878" s="14" t="s">
        <v>38</v>
      </c>
      <c r="M878" s="49" t="e">
        <f>+VLOOKUP(C878,'[1]Table 1'!$B:$B,1,0)</f>
        <v>#N/A</v>
      </c>
    </row>
    <row r="879" spans="1:13" ht="13.5" hidden="1" customHeight="1">
      <c r="A879" s="14">
        <f t="shared" si="13"/>
        <v>872</v>
      </c>
      <c r="B879" s="15" t="s">
        <v>1972</v>
      </c>
      <c r="C879" s="15"/>
      <c r="D879" s="2" t="s">
        <v>1973</v>
      </c>
      <c r="E879" s="16" t="s">
        <v>34</v>
      </c>
      <c r="F879" s="17">
        <v>45378</v>
      </c>
      <c r="G879" s="18" t="s">
        <v>1974</v>
      </c>
      <c r="H879" s="18" t="s">
        <v>36</v>
      </c>
      <c r="I879" s="19">
        <v>2</v>
      </c>
      <c r="J879" s="18" t="s">
        <v>37</v>
      </c>
      <c r="K879" s="19" t="s">
        <v>1962</v>
      </c>
      <c r="L879" s="14" t="s">
        <v>38</v>
      </c>
      <c r="M879" s="49"/>
    </row>
    <row r="880" spans="1:13" ht="13.5" customHeight="1">
      <c r="A880" s="14">
        <f t="shared" si="13"/>
        <v>873</v>
      </c>
      <c r="B880" s="15" t="s">
        <v>1975</v>
      </c>
      <c r="C880" s="15" t="s">
        <v>1975</v>
      </c>
      <c r="D880" s="2" t="s">
        <v>1976</v>
      </c>
      <c r="E880" s="16">
        <v>0</v>
      </c>
      <c r="F880" s="17">
        <v>45378</v>
      </c>
      <c r="G880" s="18" t="s">
        <v>11</v>
      </c>
      <c r="H880" s="18" t="s">
        <v>36</v>
      </c>
      <c r="I880" s="19">
        <v>1</v>
      </c>
      <c r="J880" s="18" t="s">
        <v>1753</v>
      </c>
      <c r="K880" s="19" t="s">
        <v>1962</v>
      </c>
      <c r="L880" s="14" t="s">
        <v>1965</v>
      </c>
      <c r="M880" s="49" t="e">
        <f>+VLOOKUP(C880,'[1]Table 1'!$B:$B,1,0)</f>
        <v>#N/A</v>
      </c>
    </row>
    <row r="881" spans="1:13" ht="13.5" customHeight="1">
      <c r="A881" s="14">
        <f t="shared" si="13"/>
        <v>874</v>
      </c>
      <c r="B881" s="15" t="s">
        <v>1977</v>
      </c>
      <c r="C881" s="15" t="s">
        <v>1977</v>
      </c>
      <c r="D881" s="2" t="s">
        <v>1978</v>
      </c>
      <c r="E881" s="16">
        <v>0</v>
      </c>
      <c r="F881" s="17">
        <v>45378</v>
      </c>
      <c r="G881" s="18" t="s">
        <v>14</v>
      </c>
      <c r="H881" s="18" t="s">
        <v>36</v>
      </c>
      <c r="I881" s="19">
        <v>1</v>
      </c>
      <c r="J881" s="18" t="s">
        <v>1753</v>
      </c>
      <c r="K881" s="19" t="s">
        <v>1962</v>
      </c>
      <c r="L881" s="14" t="s">
        <v>281</v>
      </c>
      <c r="M881" s="49" t="e">
        <f>+VLOOKUP(C881,'[1]Table 1'!$B:$B,1,0)</f>
        <v>#N/A</v>
      </c>
    </row>
    <row r="882" spans="1:13" ht="13.5" customHeight="1">
      <c r="A882" s="14">
        <f t="shared" si="13"/>
        <v>875</v>
      </c>
      <c r="B882" s="15" t="s">
        <v>1979</v>
      </c>
      <c r="C882" s="15" t="s">
        <v>1979</v>
      </c>
      <c r="D882" s="2" t="s">
        <v>1980</v>
      </c>
      <c r="E882" s="16">
        <v>0</v>
      </c>
      <c r="F882" s="17">
        <v>45378</v>
      </c>
      <c r="G882" s="18" t="s">
        <v>14</v>
      </c>
      <c r="H882" s="18" t="s">
        <v>36</v>
      </c>
      <c r="I882" s="19">
        <v>2</v>
      </c>
      <c r="J882" s="18" t="s">
        <v>1753</v>
      </c>
      <c r="K882" s="19" t="s">
        <v>1962</v>
      </c>
      <c r="L882" s="14" t="s">
        <v>281</v>
      </c>
      <c r="M882" s="49" t="e">
        <f>+VLOOKUP(C882,'[1]Table 1'!$B:$B,1,0)</f>
        <v>#N/A</v>
      </c>
    </row>
    <row r="883" spans="1:13" ht="13.5" customHeight="1">
      <c r="A883" s="33">
        <f t="shared" si="13"/>
        <v>876</v>
      </c>
      <c r="B883" s="34" t="s">
        <v>1981</v>
      </c>
      <c r="C883" s="34" t="s">
        <v>1981</v>
      </c>
      <c r="D883" s="35" t="s">
        <v>1982</v>
      </c>
      <c r="E883" s="36" t="s">
        <v>335</v>
      </c>
      <c r="F883" s="37">
        <v>45378</v>
      </c>
      <c r="G883" s="38" t="s">
        <v>14</v>
      </c>
      <c r="H883" s="38" t="s">
        <v>620</v>
      </c>
      <c r="I883" s="39">
        <v>2</v>
      </c>
      <c r="J883" s="38" t="s">
        <v>1753</v>
      </c>
      <c r="K883" s="39" t="s">
        <v>1962</v>
      </c>
      <c r="L883" s="14" t="s">
        <v>281</v>
      </c>
      <c r="M883" s="49" t="e">
        <f>+VLOOKUP(C883,'[1]Table 1'!$B:$B,1,0)</f>
        <v>#N/A</v>
      </c>
    </row>
    <row r="884" spans="1:13" ht="13.5" customHeight="1">
      <c r="A884" s="14">
        <f t="shared" si="13"/>
        <v>877</v>
      </c>
      <c r="B884" s="15" t="s">
        <v>1983</v>
      </c>
      <c r="C884" s="15" t="s">
        <v>1983</v>
      </c>
      <c r="D884" s="2" t="s">
        <v>1984</v>
      </c>
      <c r="E884" s="16">
        <v>0</v>
      </c>
      <c r="F884" s="17">
        <v>45378</v>
      </c>
      <c r="G884" s="18" t="s">
        <v>14</v>
      </c>
      <c r="H884" s="18" t="s">
        <v>36</v>
      </c>
      <c r="I884" s="19">
        <v>2</v>
      </c>
      <c r="J884" s="18" t="s">
        <v>1753</v>
      </c>
      <c r="K884" s="19" t="s">
        <v>1962</v>
      </c>
      <c r="L884" s="14" t="s">
        <v>281</v>
      </c>
      <c r="M884" s="49" t="e">
        <f>+VLOOKUP(C884,'[1]Table 1'!$B:$B,1,0)</f>
        <v>#N/A</v>
      </c>
    </row>
    <row r="885" spans="1:13" ht="13.5" customHeight="1">
      <c r="A885" s="14">
        <f t="shared" si="13"/>
        <v>878</v>
      </c>
      <c r="B885" s="15" t="s">
        <v>1985</v>
      </c>
      <c r="C885" s="15" t="s">
        <v>1985</v>
      </c>
      <c r="D885" s="2" t="s">
        <v>1986</v>
      </c>
      <c r="E885" s="16">
        <v>0</v>
      </c>
      <c r="F885" s="17">
        <v>45378</v>
      </c>
      <c r="G885" s="18" t="s">
        <v>14</v>
      </c>
      <c r="H885" s="18" t="s">
        <v>36</v>
      </c>
      <c r="I885" s="19">
        <v>2</v>
      </c>
      <c r="J885" s="18" t="s">
        <v>1753</v>
      </c>
      <c r="K885" s="19" t="s">
        <v>1962</v>
      </c>
      <c r="L885" s="14" t="s">
        <v>281</v>
      </c>
      <c r="M885" s="49" t="e">
        <f>+VLOOKUP(C885,'[1]Table 1'!$B:$B,1,0)</f>
        <v>#N/A</v>
      </c>
    </row>
    <row r="886" spans="1:13" ht="13.5" hidden="1" customHeight="1">
      <c r="A886" s="14">
        <f t="shared" si="13"/>
        <v>879</v>
      </c>
      <c r="B886" s="15" t="s">
        <v>1987</v>
      </c>
      <c r="C886" s="15"/>
      <c r="D886" s="2" t="s">
        <v>1988</v>
      </c>
      <c r="E886" s="16" t="s">
        <v>34</v>
      </c>
      <c r="F886" s="17">
        <v>45378</v>
      </c>
      <c r="G886" s="18" t="s">
        <v>609</v>
      </c>
      <c r="H886" s="18" t="s">
        <v>36</v>
      </c>
      <c r="I886" s="19">
        <v>34</v>
      </c>
      <c r="J886" s="18" t="s">
        <v>37</v>
      </c>
      <c r="K886" s="19" t="s">
        <v>1962</v>
      </c>
      <c r="L886" s="14" t="s">
        <v>38</v>
      </c>
      <c r="M886" s="49"/>
    </row>
    <row r="887" spans="1:13" ht="13.5" hidden="1" customHeight="1">
      <c r="A887" s="14">
        <f t="shared" si="13"/>
        <v>880</v>
      </c>
      <c r="B887" s="15" t="s">
        <v>1989</v>
      </c>
      <c r="C887" s="15"/>
      <c r="D887" s="2" t="s">
        <v>1990</v>
      </c>
      <c r="E887" s="16" t="s">
        <v>34</v>
      </c>
      <c r="F887" s="17">
        <v>45378</v>
      </c>
      <c r="G887" s="18" t="s">
        <v>1974</v>
      </c>
      <c r="H887" s="18" t="s">
        <v>36</v>
      </c>
      <c r="I887" s="19">
        <v>2</v>
      </c>
      <c r="J887" s="18" t="s">
        <v>37</v>
      </c>
      <c r="K887" s="19" t="s">
        <v>1962</v>
      </c>
      <c r="L887" s="14" t="s">
        <v>38</v>
      </c>
      <c r="M887" s="49"/>
    </row>
    <row r="888" spans="1:13" ht="13.5" hidden="1" customHeight="1">
      <c r="A888" s="10"/>
      <c r="B888" s="11" t="s">
        <v>1991</v>
      </c>
      <c r="C888" s="11"/>
      <c r="D888" s="11"/>
      <c r="E888" s="12"/>
      <c r="F888" s="11"/>
      <c r="G888" s="11"/>
      <c r="H888" s="12"/>
      <c r="I888" s="12"/>
      <c r="J888" s="11"/>
      <c r="K888" s="13"/>
      <c r="L888" s="50"/>
      <c r="M888" s="49"/>
    </row>
    <row r="889" spans="1:13" ht="13.5" hidden="1" customHeight="1">
      <c r="A889" s="14">
        <f t="shared" si="13"/>
        <v>882</v>
      </c>
      <c r="B889" s="15" t="s">
        <v>1992</v>
      </c>
      <c r="C889" s="15"/>
      <c r="D889" s="2" t="s">
        <v>1993</v>
      </c>
      <c r="E889" s="16" t="s">
        <v>34</v>
      </c>
      <c r="F889" s="17">
        <v>45391</v>
      </c>
      <c r="G889" s="18" t="s">
        <v>35</v>
      </c>
      <c r="H889" s="18" t="s">
        <v>36</v>
      </c>
      <c r="I889" s="19" t="s">
        <v>34</v>
      </c>
      <c r="J889" s="18" t="s">
        <v>37</v>
      </c>
      <c r="K889" s="19"/>
      <c r="L889" s="14" t="s">
        <v>38</v>
      </c>
      <c r="M889" s="49"/>
    </row>
    <row r="890" spans="1:13" ht="13.5" hidden="1" customHeight="1">
      <c r="A890" s="14">
        <f t="shared" si="13"/>
        <v>883</v>
      </c>
      <c r="B890" s="15" t="s">
        <v>1994</v>
      </c>
      <c r="C890" s="15"/>
      <c r="D890" s="2" t="s">
        <v>1995</v>
      </c>
      <c r="E890" s="16" t="s">
        <v>34</v>
      </c>
      <c r="F890" s="17">
        <v>45391</v>
      </c>
      <c r="G890" s="18" t="s">
        <v>11</v>
      </c>
      <c r="H890" s="18" t="s">
        <v>36</v>
      </c>
      <c r="I890" s="19" t="s">
        <v>34</v>
      </c>
      <c r="J890" s="18" t="s">
        <v>91</v>
      </c>
      <c r="K890" s="19"/>
      <c r="L890" s="14" t="s">
        <v>38</v>
      </c>
      <c r="M890" s="49"/>
    </row>
    <row r="891" spans="1:13" ht="13.5" hidden="1" customHeight="1">
      <c r="A891" s="20">
        <f t="shared" si="13"/>
        <v>884</v>
      </c>
      <c r="B891" s="21" t="s">
        <v>1996</v>
      </c>
      <c r="C891" s="21"/>
      <c r="D891" s="1" t="s">
        <v>70</v>
      </c>
      <c r="E891" s="22">
        <v>1</v>
      </c>
      <c r="F891" s="23">
        <v>45391</v>
      </c>
      <c r="G891" s="24" t="s">
        <v>41</v>
      </c>
      <c r="H891" s="24" t="s">
        <v>49</v>
      </c>
      <c r="I891" s="25" t="s">
        <v>34</v>
      </c>
      <c r="J891" s="24" t="s">
        <v>68</v>
      </c>
      <c r="K891" s="25"/>
      <c r="L891" s="14" t="s">
        <v>38</v>
      </c>
      <c r="M891" s="49"/>
    </row>
    <row r="892" spans="1:13" ht="13.5" hidden="1" customHeight="1">
      <c r="A892" s="20">
        <f t="shared" si="13"/>
        <v>885</v>
      </c>
      <c r="B892" s="21" t="s">
        <v>1997</v>
      </c>
      <c r="C892" s="21"/>
      <c r="D892" s="1" t="s">
        <v>72</v>
      </c>
      <c r="E892" s="22">
        <v>1</v>
      </c>
      <c r="F892" s="23">
        <v>45391</v>
      </c>
      <c r="G892" s="24" t="s">
        <v>41</v>
      </c>
      <c r="H892" s="24" t="s">
        <v>49</v>
      </c>
      <c r="I892" s="25" t="s">
        <v>34</v>
      </c>
      <c r="J892" s="24" t="s">
        <v>68</v>
      </c>
      <c r="K892" s="25"/>
      <c r="L892" s="14" t="s">
        <v>38</v>
      </c>
      <c r="M892" s="49"/>
    </row>
    <row r="893" spans="1:13" ht="13.5" customHeight="1">
      <c r="A893" s="14">
        <f t="shared" si="13"/>
        <v>886</v>
      </c>
      <c r="B893" s="15" t="s">
        <v>1998</v>
      </c>
      <c r="C893" s="15" t="s">
        <v>1998</v>
      </c>
      <c r="D893" s="2" t="s">
        <v>1999</v>
      </c>
      <c r="E893" s="16" t="s">
        <v>2000</v>
      </c>
      <c r="F893" s="17">
        <v>45391</v>
      </c>
      <c r="G893" s="18" t="s">
        <v>10</v>
      </c>
      <c r="H893" s="18" t="s">
        <v>36</v>
      </c>
      <c r="I893" s="19">
        <v>42</v>
      </c>
      <c r="J893" s="18" t="s">
        <v>1753</v>
      </c>
      <c r="K893" s="19" t="s">
        <v>2001</v>
      </c>
      <c r="L893" s="14" t="s">
        <v>281</v>
      </c>
      <c r="M893" s="49" t="e">
        <f>+VLOOKUP(C893,'[1]Table 1'!$B:$B,1,0)</f>
        <v>#N/A</v>
      </c>
    </row>
    <row r="894" spans="1:13" ht="13.5" hidden="1" customHeight="1">
      <c r="A894" s="26">
        <f t="shared" si="13"/>
        <v>887</v>
      </c>
      <c r="B894" s="27" t="s">
        <v>1424</v>
      </c>
      <c r="C894" s="27" t="s">
        <v>1424</v>
      </c>
      <c r="D894" s="28" t="s">
        <v>1425</v>
      </c>
      <c r="E894" s="29" t="s">
        <v>335</v>
      </c>
      <c r="F894" s="30">
        <v>45391</v>
      </c>
      <c r="G894" s="31" t="s">
        <v>14</v>
      </c>
      <c r="H894" s="31" t="s">
        <v>36</v>
      </c>
      <c r="I894" s="32">
        <v>1</v>
      </c>
      <c r="J894" s="31" t="s">
        <v>1395</v>
      </c>
      <c r="K894" s="32" t="s">
        <v>2001</v>
      </c>
      <c r="L894" s="14" t="s">
        <v>281</v>
      </c>
      <c r="M894" s="49" t="str">
        <f>+VLOOKUP(C894,'[1]Table 1'!$B:$B,1,0)</f>
        <v>4600022667-001-03350-205EL-00001</v>
      </c>
    </row>
    <row r="895" spans="1:13" ht="13.5" hidden="1" customHeight="1">
      <c r="A895" s="26">
        <f t="shared" si="13"/>
        <v>888</v>
      </c>
      <c r="B895" s="27" t="s">
        <v>444</v>
      </c>
      <c r="C895" s="27" t="s">
        <v>444</v>
      </c>
      <c r="D895" s="28" t="s">
        <v>445</v>
      </c>
      <c r="E895" s="29">
        <v>0</v>
      </c>
      <c r="F895" s="30">
        <v>45391</v>
      </c>
      <c r="G895" s="31" t="s">
        <v>7</v>
      </c>
      <c r="H895" s="31" t="s">
        <v>36</v>
      </c>
      <c r="I895" s="32">
        <v>8</v>
      </c>
      <c r="J895" s="31" t="s">
        <v>324</v>
      </c>
      <c r="K895" s="32" t="s">
        <v>2001</v>
      </c>
      <c r="L895" s="14" t="s">
        <v>281</v>
      </c>
      <c r="M895" s="49" t="str">
        <f>+VLOOKUP(C895,'[1]Table 1'!$B:$B,1,0)</f>
        <v>4600022667-001-03350-CUBAT-00001</v>
      </c>
    </row>
    <row r="896" spans="1:13" ht="13.5" hidden="1" customHeight="1">
      <c r="A896" s="26">
        <f t="shared" si="13"/>
        <v>889</v>
      </c>
      <c r="B896" s="27" t="s">
        <v>1517</v>
      </c>
      <c r="C896" s="27" t="s">
        <v>1517</v>
      </c>
      <c r="D896" s="28" t="s">
        <v>1518</v>
      </c>
      <c r="E896" s="29">
        <v>0</v>
      </c>
      <c r="F896" s="30">
        <v>45391</v>
      </c>
      <c r="G896" s="31" t="s">
        <v>8</v>
      </c>
      <c r="H896" s="31" t="s">
        <v>36</v>
      </c>
      <c r="I896" s="32">
        <v>12</v>
      </c>
      <c r="J896" s="31" t="s">
        <v>1395</v>
      </c>
      <c r="K896" s="32" t="s">
        <v>2001</v>
      </c>
      <c r="L896" s="14" t="s">
        <v>281</v>
      </c>
      <c r="M896" s="49" t="str">
        <f>+VLOOKUP(C896,'[1]Table 1'!$B:$B,1,0)</f>
        <v>4600022667-001-03350-ESPEL-00004</v>
      </c>
    </row>
    <row r="897" spans="1:13" ht="13.5" hidden="1" customHeight="1">
      <c r="A897" s="14">
        <f t="shared" si="13"/>
        <v>890</v>
      </c>
      <c r="B897" s="15" t="s">
        <v>2002</v>
      </c>
      <c r="C897" s="15" t="s">
        <v>2002</v>
      </c>
      <c r="D897" s="2" t="s">
        <v>2003</v>
      </c>
      <c r="E897" s="16">
        <v>0</v>
      </c>
      <c r="F897" s="17">
        <v>45391</v>
      </c>
      <c r="G897" s="18" t="s">
        <v>9</v>
      </c>
      <c r="H897" s="18" t="s">
        <v>36</v>
      </c>
      <c r="I897" s="19">
        <v>8</v>
      </c>
      <c r="J897" s="18" t="s">
        <v>324</v>
      </c>
      <c r="K897" s="19" t="s">
        <v>2001</v>
      </c>
      <c r="L897" s="14" t="s">
        <v>281</v>
      </c>
      <c r="M897" s="49" t="str">
        <f>+VLOOKUP(C897,'[1]Table 1'!$B:$B,1,0)</f>
        <v>4600022667-001-03350-HDDAT-00006</v>
      </c>
    </row>
    <row r="898" spans="1:13" ht="13.5" hidden="1" customHeight="1">
      <c r="A898" s="26">
        <f t="shared" si="13"/>
        <v>891</v>
      </c>
      <c r="B898" s="27" t="s">
        <v>1905</v>
      </c>
      <c r="C898" s="27" t="s">
        <v>1905</v>
      </c>
      <c r="D898" s="28" t="s">
        <v>1906</v>
      </c>
      <c r="E898" s="29">
        <v>0</v>
      </c>
      <c r="F898" s="30">
        <v>45391</v>
      </c>
      <c r="G898" s="31" t="s">
        <v>9</v>
      </c>
      <c r="H898" s="31" t="s">
        <v>36</v>
      </c>
      <c r="I898" s="32">
        <v>13</v>
      </c>
      <c r="J898" s="31" t="s">
        <v>1753</v>
      </c>
      <c r="K898" s="32" t="s">
        <v>2001</v>
      </c>
      <c r="L898" s="14" t="s">
        <v>281</v>
      </c>
      <c r="M898" s="49" t="str">
        <f>+VLOOKUP(C898,'[1]Table 1'!$B:$B,1,0)</f>
        <v>4600022667-001-03350-HDDME-00007</v>
      </c>
    </row>
    <row r="899" spans="1:13" ht="13.5" customHeight="1">
      <c r="A899" s="26">
        <f t="shared" si="13"/>
        <v>892</v>
      </c>
      <c r="B899" s="27" t="s">
        <v>2004</v>
      </c>
      <c r="C899" s="27" t="s">
        <v>2004</v>
      </c>
      <c r="D899" s="28" t="s">
        <v>1827</v>
      </c>
      <c r="E899" s="29">
        <v>0</v>
      </c>
      <c r="F899" s="30">
        <v>45391</v>
      </c>
      <c r="G899" s="31" t="s">
        <v>10</v>
      </c>
      <c r="H899" s="31" t="s">
        <v>36</v>
      </c>
      <c r="I899" s="32">
        <v>82</v>
      </c>
      <c r="J899" s="31" t="s">
        <v>37</v>
      </c>
      <c r="K899" s="32" t="s">
        <v>2001</v>
      </c>
      <c r="L899" s="14" t="s">
        <v>281</v>
      </c>
      <c r="M899" s="49" t="e">
        <f>+VLOOKUP(C899,'[1]Table 1'!$B:$B,1,0)</f>
        <v>#N/A</v>
      </c>
    </row>
    <row r="900" spans="1:13" ht="13.5" customHeight="1">
      <c r="A900" s="14">
        <f t="shared" si="13"/>
        <v>893</v>
      </c>
      <c r="B900" s="15" t="s">
        <v>2005</v>
      </c>
      <c r="C900" s="15" t="s">
        <v>2005</v>
      </c>
      <c r="D900" s="2" t="s">
        <v>2006</v>
      </c>
      <c r="E900" s="16">
        <v>0</v>
      </c>
      <c r="F900" s="17">
        <v>45391</v>
      </c>
      <c r="G900" s="18" t="s">
        <v>10</v>
      </c>
      <c r="H900" s="18" t="s">
        <v>36</v>
      </c>
      <c r="I900" s="19">
        <v>7</v>
      </c>
      <c r="J900" s="18" t="s">
        <v>1753</v>
      </c>
      <c r="K900" s="19" t="s">
        <v>2001</v>
      </c>
      <c r="L900" s="14" t="s">
        <v>281</v>
      </c>
      <c r="M900" s="49" t="e">
        <f>+VLOOKUP(C900,'[1]Table 1'!$B:$B,1,0)</f>
        <v>#N/A</v>
      </c>
    </row>
    <row r="901" spans="1:13" ht="13.5" customHeight="1">
      <c r="A901" s="14">
        <f t="shared" si="13"/>
        <v>894</v>
      </c>
      <c r="B901" s="15" t="s">
        <v>2007</v>
      </c>
      <c r="C901" s="15" t="s">
        <v>2007</v>
      </c>
      <c r="D901" s="2" t="s">
        <v>2008</v>
      </c>
      <c r="E901" s="16">
        <v>0</v>
      </c>
      <c r="F901" s="17">
        <v>45391</v>
      </c>
      <c r="G901" s="18" t="s">
        <v>10</v>
      </c>
      <c r="H901" s="18" t="s">
        <v>36</v>
      </c>
      <c r="I901" s="19">
        <v>5</v>
      </c>
      <c r="J901" s="18" t="s">
        <v>1753</v>
      </c>
      <c r="K901" s="19" t="s">
        <v>2001</v>
      </c>
      <c r="L901" s="14" t="s">
        <v>281</v>
      </c>
      <c r="M901" s="49" t="e">
        <f>+VLOOKUP(C901,'[1]Table 1'!$B:$B,1,0)</f>
        <v>#N/A</v>
      </c>
    </row>
    <row r="902" spans="1:13" ht="13.5" customHeight="1">
      <c r="A902" s="33">
        <f t="shared" si="13"/>
        <v>895</v>
      </c>
      <c r="B902" s="34" t="s">
        <v>2009</v>
      </c>
      <c r="C902" s="34" t="s">
        <v>2009</v>
      </c>
      <c r="D902" s="35" t="s">
        <v>2010</v>
      </c>
      <c r="E902" s="36" t="s">
        <v>34</v>
      </c>
      <c r="F902" s="37">
        <v>45391</v>
      </c>
      <c r="G902" s="38" t="s">
        <v>11</v>
      </c>
      <c r="H902" s="38" t="s">
        <v>620</v>
      </c>
      <c r="I902" s="39" t="s">
        <v>34</v>
      </c>
      <c r="J902" s="38" t="s">
        <v>37</v>
      </c>
      <c r="K902" s="39" t="s">
        <v>2001</v>
      </c>
      <c r="L902" s="14" t="s">
        <v>1965</v>
      </c>
      <c r="M902" s="49" t="e">
        <f>+VLOOKUP(C902,'[1]Table 1'!$B:$B,1,0)</f>
        <v>#N/A</v>
      </c>
    </row>
    <row r="903" spans="1:13" ht="13.5" hidden="1" customHeight="1">
      <c r="A903" s="26">
        <f t="shared" si="13"/>
        <v>896</v>
      </c>
      <c r="B903" s="27" t="s">
        <v>250</v>
      </c>
      <c r="C903" s="27"/>
      <c r="D903" s="28" t="s">
        <v>251</v>
      </c>
      <c r="E903" s="29">
        <v>0</v>
      </c>
      <c r="F903" s="30">
        <v>45391</v>
      </c>
      <c r="G903" s="31" t="s">
        <v>64</v>
      </c>
      <c r="H903" s="31" t="s">
        <v>36</v>
      </c>
      <c r="I903" s="32">
        <v>89</v>
      </c>
      <c r="J903" s="31" t="s">
        <v>246</v>
      </c>
      <c r="K903" s="32" t="s">
        <v>2001</v>
      </c>
      <c r="L903" s="14" t="s">
        <v>38</v>
      </c>
      <c r="M903" s="49"/>
    </row>
    <row r="904" spans="1:13" ht="13.5" customHeight="1">
      <c r="A904" s="14">
        <f t="shared" si="13"/>
        <v>897</v>
      </c>
      <c r="B904" s="15" t="s">
        <v>2011</v>
      </c>
      <c r="C904" s="15" t="s">
        <v>2011</v>
      </c>
      <c r="D904" s="2" t="s">
        <v>2012</v>
      </c>
      <c r="E904" s="16" t="s">
        <v>34</v>
      </c>
      <c r="F904" s="17">
        <v>45391</v>
      </c>
      <c r="G904" s="18" t="s">
        <v>10</v>
      </c>
      <c r="H904" s="18" t="s">
        <v>36</v>
      </c>
      <c r="I904" s="19">
        <v>1</v>
      </c>
      <c r="J904" s="18" t="s">
        <v>1753</v>
      </c>
      <c r="K904" s="19" t="s">
        <v>2001</v>
      </c>
      <c r="L904" s="14" t="s">
        <v>1965</v>
      </c>
      <c r="M904" s="49" t="e">
        <f>+VLOOKUP(C904,'[1]Table 1'!$B:$B,1,0)</f>
        <v>#N/A</v>
      </c>
    </row>
    <row r="905" spans="1:13" ht="13.5" hidden="1" customHeight="1">
      <c r="A905" s="14">
        <f t="shared" si="13"/>
        <v>898</v>
      </c>
      <c r="B905" s="15" t="s">
        <v>2013</v>
      </c>
      <c r="C905" s="15"/>
      <c r="D905" s="2" t="s">
        <v>2014</v>
      </c>
      <c r="E905" s="16">
        <v>0</v>
      </c>
      <c r="F905" s="17">
        <v>45391</v>
      </c>
      <c r="G905" s="18" t="s">
        <v>2015</v>
      </c>
      <c r="H905" s="18" t="s">
        <v>36</v>
      </c>
      <c r="I905" s="19" t="s">
        <v>34</v>
      </c>
      <c r="J905" s="18" t="s">
        <v>68</v>
      </c>
      <c r="K905" s="19" t="s">
        <v>2001</v>
      </c>
      <c r="L905" s="14" t="s">
        <v>38</v>
      </c>
      <c r="M905" s="49"/>
    </row>
    <row r="906" spans="1:13" ht="13.5" hidden="1" customHeight="1">
      <c r="A906" s="14">
        <f t="shared" si="13"/>
        <v>899</v>
      </c>
      <c r="B906" s="15" t="s">
        <v>2016</v>
      </c>
      <c r="C906" s="15"/>
      <c r="D906" s="15" t="s">
        <v>2016</v>
      </c>
      <c r="E906" s="16" t="s">
        <v>34</v>
      </c>
      <c r="F906" s="17">
        <v>45391</v>
      </c>
      <c r="G906" s="18" t="s">
        <v>2017</v>
      </c>
      <c r="H906" s="18" t="s">
        <v>34</v>
      </c>
      <c r="I906" s="19">
        <v>1</v>
      </c>
      <c r="J906" s="18" t="s">
        <v>37</v>
      </c>
      <c r="K906" s="19" t="s">
        <v>2001</v>
      </c>
      <c r="L906" s="14" t="s">
        <v>38</v>
      </c>
      <c r="M906" s="49"/>
    </row>
    <row r="907" spans="1:13" ht="13.5" hidden="1" customHeight="1">
      <c r="A907" s="14">
        <f t="shared" si="13"/>
        <v>900</v>
      </c>
      <c r="B907" s="15" t="s">
        <v>2018</v>
      </c>
      <c r="C907" s="15"/>
      <c r="D907" s="15" t="s">
        <v>2018</v>
      </c>
      <c r="E907" s="16" t="s">
        <v>34</v>
      </c>
      <c r="F907" s="17">
        <v>45391</v>
      </c>
      <c r="G907" s="18" t="s">
        <v>2017</v>
      </c>
      <c r="H907" s="18" t="s">
        <v>34</v>
      </c>
      <c r="I907" s="19">
        <v>1</v>
      </c>
      <c r="J907" s="18" t="s">
        <v>37</v>
      </c>
      <c r="K907" s="19" t="s">
        <v>2001</v>
      </c>
      <c r="L907" s="14" t="s">
        <v>38</v>
      </c>
      <c r="M907" s="49"/>
    </row>
    <row r="908" spans="1:13" ht="13.5" hidden="1" customHeight="1">
      <c r="A908" s="14">
        <f t="shared" si="13"/>
        <v>901</v>
      </c>
      <c r="B908" s="15" t="s">
        <v>2019</v>
      </c>
      <c r="C908" s="15"/>
      <c r="D908" s="2" t="s">
        <v>2020</v>
      </c>
      <c r="E908" s="16" t="s">
        <v>34</v>
      </c>
      <c r="F908" s="17">
        <v>45391</v>
      </c>
      <c r="G908" s="18" t="s">
        <v>609</v>
      </c>
      <c r="H908" s="18" t="s">
        <v>36</v>
      </c>
      <c r="I908" s="19">
        <v>5</v>
      </c>
      <c r="J908" s="18" t="s">
        <v>2021</v>
      </c>
      <c r="K908" s="19" t="s">
        <v>2001</v>
      </c>
      <c r="L908" s="14" t="s">
        <v>38</v>
      </c>
      <c r="M908" s="49"/>
    </row>
    <row r="909" spans="1:13" ht="13.5" customHeight="1">
      <c r="A909" s="14">
        <f t="shared" si="13"/>
        <v>902</v>
      </c>
      <c r="B909" s="15" t="s">
        <v>2022</v>
      </c>
      <c r="C909" s="15" t="s">
        <v>2022</v>
      </c>
      <c r="D909" s="2" t="s">
        <v>2023</v>
      </c>
      <c r="E909" s="16">
        <v>2</v>
      </c>
      <c r="F909" s="17">
        <v>45391</v>
      </c>
      <c r="G909" s="18" t="s">
        <v>8</v>
      </c>
      <c r="H909" s="18" t="s">
        <v>36</v>
      </c>
      <c r="I909" s="19">
        <v>84</v>
      </c>
      <c r="J909" s="18" t="s">
        <v>491</v>
      </c>
      <c r="K909" s="19" t="s">
        <v>2001</v>
      </c>
      <c r="L909" s="14" t="s">
        <v>281</v>
      </c>
      <c r="M909" s="49" t="e">
        <f>+VLOOKUP(C909,'[1]Table 1'!$B:$B,1,0)</f>
        <v>#N/A</v>
      </c>
    </row>
    <row r="910" spans="1:13" ht="13.5" customHeight="1">
      <c r="A910" s="14">
        <f t="shared" si="13"/>
        <v>903</v>
      </c>
      <c r="B910" s="15" t="s">
        <v>2024</v>
      </c>
      <c r="C910" s="15" t="s">
        <v>2024</v>
      </c>
      <c r="D910" s="2" t="s">
        <v>2025</v>
      </c>
      <c r="E910" s="16">
        <v>2</v>
      </c>
      <c r="F910" s="17">
        <v>45391</v>
      </c>
      <c r="G910" s="18" t="s">
        <v>8</v>
      </c>
      <c r="H910" s="18" t="s">
        <v>36</v>
      </c>
      <c r="I910" s="19">
        <v>210</v>
      </c>
      <c r="J910" s="18" t="s">
        <v>1589</v>
      </c>
      <c r="K910" s="19" t="s">
        <v>2001</v>
      </c>
      <c r="L910" s="14" t="s">
        <v>281</v>
      </c>
      <c r="M910" s="49" t="e">
        <f>+VLOOKUP(C910,'[1]Table 1'!$B:$B,1,0)</f>
        <v>#N/A</v>
      </c>
    </row>
    <row r="911" spans="1:13" ht="13.5" customHeight="1">
      <c r="A911" s="14">
        <f t="shared" si="13"/>
        <v>904</v>
      </c>
      <c r="B911" s="15" t="s">
        <v>2026</v>
      </c>
      <c r="C911" s="15" t="s">
        <v>2026</v>
      </c>
      <c r="D911" s="2" t="s">
        <v>2027</v>
      </c>
      <c r="E911" s="16">
        <v>1</v>
      </c>
      <c r="F911" s="17">
        <v>45391</v>
      </c>
      <c r="G911" s="18" t="s">
        <v>6</v>
      </c>
      <c r="H911" s="18" t="s">
        <v>36</v>
      </c>
      <c r="I911" s="19">
        <v>152</v>
      </c>
      <c r="J911" s="18" t="s">
        <v>491</v>
      </c>
      <c r="K911" s="19" t="s">
        <v>2001</v>
      </c>
      <c r="L911" s="14" t="s">
        <v>281</v>
      </c>
      <c r="M911" s="49" t="e">
        <f>+VLOOKUP(C911,'[1]Table 1'!$B:$B,1,0)</f>
        <v>#N/A</v>
      </c>
    </row>
    <row r="912" spans="1:13" ht="13.5" customHeight="1">
      <c r="A912" s="14">
        <f t="shared" si="13"/>
        <v>905</v>
      </c>
      <c r="B912" s="15" t="s">
        <v>2028</v>
      </c>
      <c r="C912" s="15" t="s">
        <v>2028</v>
      </c>
      <c r="D912" s="2" t="s">
        <v>2029</v>
      </c>
      <c r="E912" s="16">
        <v>2</v>
      </c>
      <c r="F912" s="17">
        <v>45391</v>
      </c>
      <c r="G912" s="18" t="s">
        <v>8</v>
      </c>
      <c r="H912" s="18" t="s">
        <v>36</v>
      </c>
      <c r="I912" s="19">
        <v>74</v>
      </c>
      <c r="J912" s="18" t="s">
        <v>491</v>
      </c>
      <c r="K912" s="19" t="s">
        <v>2001</v>
      </c>
      <c r="L912" s="14" t="s">
        <v>281</v>
      </c>
      <c r="M912" s="49" t="e">
        <f>+VLOOKUP(C912,'[1]Table 1'!$B:$B,1,0)</f>
        <v>#N/A</v>
      </c>
    </row>
    <row r="913" spans="1:13" ht="13.5" hidden="1" customHeight="1">
      <c r="A913" s="26">
        <f t="shared" si="13"/>
        <v>906</v>
      </c>
      <c r="B913" s="27" t="s">
        <v>615</v>
      </c>
      <c r="C913" s="27"/>
      <c r="D913" s="28" t="s">
        <v>2030</v>
      </c>
      <c r="E913" s="29">
        <v>9</v>
      </c>
      <c r="F913" s="30">
        <v>45391</v>
      </c>
      <c r="G913" s="31" t="s">
        <v>152</v>
      </c>
      <c r="H913" s="31" t="s">
        <v>36</v>
      </c>
      <c r="I913" s="32">
        <v>12</v>
      </c>
      <c r="J913" s="31" t="s">
        <v>234</v>
      </c>
      <c r="K913" s="32" t="s">
        <v>2001</v>
      </c>
      <c r="L913" s="14" t="s">
        <v>38</v>
      </c>
      <c r="M913" s="49"/>
    </row>
    <row r="914" spans="1:13" ht="13.5" customHeight="1">
      <c r="A914" s="14">
        <f t="shared" si="13"/>
        <v>907</v>
      </c>
      <c r="B914" s="15" t="s">
        <v>2031</v>
      </c>
      <c r="C914" s="15" t="s">
        <v>2031</v>
      </c>
      <c r="D914" s="2" t="s">
        <v>2032</v>
      </c>
      <c r="E914" s="16">
        <v>1</v>
      </c>
      <c r="F914" s="17">
        <v>45391</v>
      </c>
      <c r="G914" s="18" t="s">
        <v>9</v>
      </c>
      <c r="H914" s="18" t="s">
        <v>36</v>
      </c>
      <c r="I914" s="19">
        <v>1</v>
      </c>
      <c r="J914" s="18" t="s">
        <v>1753</v>
      </c>
      <c r="K914" s="19" t="s">
        <v>2033</v>
      </c>
      <c r="L914" s="14" t="s">
        <v>281</v>
      </c>
      <c r="M914" s="49" t="e">
        <f>+VLOOKUP(C914,'[1]Table 1'!$B:$B,1,0)</f>
        <v>#N/A</v>
      </c>
    </row>
    <row r="915" spans="1:13" ht="13.5" customHeight="1">
      <c r="A915" s="14">
        <f t="shared" si="13"/>
        <v>908</v>
      </c>
      <c r="B915" s="15" t="s">
        <v>2034</v>
      </c>
      <c r="C915" s="15" t="s">
        <v>2034</v>
      </c>
      <c r="D915" s="2" t="s">
        <v>2035</v>
      </c>
      <c r="E915" s="16" t="s">
        <v>2036</v>
      </c>
      <c r="F915" s="17">
        <v>45391</v>
      </c>
      <c r="G915" s="18" t="s">
        <v>11</v>
      </c>
      <c r="H915" s="18" t="s">
        <v>36</v>
      </c>
      <c r="I915" s="19">
        <v>1</v>
      </c>
      <c r="J915" s="18" t="s">
        <v>1753</v>
      </c>
      <c r="K915" s="19" t="s">
        <v>2033</v>
      </c>
      <c r="L915" s="14" t="s">
        <v>281</v>
      </c>
      <c r="M915" s="49" t="e">
        <f>+VLOOKUP(C915,'[1]Table 1'!$B:$B,1,0)</f>
        <v>#N/A</v>
      </c>
    </row>
    <row r="916" spans="1:13" ht="13.5" customHeight="1">
      <c r="A916" s="14">
        <f t="shared" si="13"/>
        <v>909</v>
      </c>
      <c r="B916" s="15" t="s">
        <v>2037</v>
      </c>
      <c r="C916" s="15" t="s">
        <v>2037</v>
      </c>
      <c r="D916" s="2" t="s">
        <v>2038</v>
      </c>
      <c r="E916" s="16">
        <v>1</v>
      </c>
      <c r="F916" s="17">
        <v>45391</v>
      </c>
      <c r="G916" s="18" t="s">
        <v>10</v>
      </c>
      <c r="H916" s="18" t="s">
        <v>36</v>
      </c>
      <c r="I916" s="19">
        <v>2</v>
      </c>
      <c r="J916" s="18" t="s">
        <v>1753</v>
      </c>
      <c r="K916" s="19" t="s">
        <v>2033</v>
      </c>
      <c r="L916" s="14" t="s">
        <v>1965</v>
      </c>
      <c r="M916" s="49" t="e">
        <f>+VLOOKUP(C916,'[1]Table 1'!$B:$B,1,0)</f>
        <v>#N/A</v>
      </c>
    </row>
    <row r="917" spans="1:13" ht="13.5" customHeight="1">
      <c r="A917" s="26">
        <f t="shared" si="13"/>
        <v>910</v>
      </c>
      <c r="B917" s="27" t="s">
        <v>2039</v>
      </c>
      <c r="C917" s="27" t="s">
        <v>2039</v>
      </c>
      <c r="D917" s="28" t="s">
        <v>1980</v>
      </c>
      <c r="E917" s="29">
        <v>0</v>
      </c>
      <c r="F917" s="30">
        <v>45391</v>
      </c>
      <c r="G917" s="31" t="s">
        <v>14</v>
      </c>
      <c r="H917" s="31" t="s">
        <v>36</v>
      </c>
      <c r="I917" s="32">
        <v>2</v>
      </c>
      <c r="J917" s="31" t="s">
        <v>1753</v>
      </c>
      <c r="K917" s="32" t="s">
        <v>2033</v>
      </c>
      <c r="L917" s="14" t="s">
        <v>281</v>
      </c>
      <c r="M917" s="49" t="e">
        <f>+VLOOKUP(C917,'[1]Table 1'!$B:$B,1,0)</f>
        <v>#N/A</v>
      </c>
    </row>
    <row r="918" spans="1:13" ht="13.5" customHeight="1">
      <c r="A918" s="14">
        <f t="shared" si="13"/>
        <v>911</v>
      </c>
      <c r="B918" s="15" t="s">
        <v>2040</v>
      </c>
      <c r="C918" s="15" t="s">
        <v>2040</v>
      </c>
      <c r="D918" s="2" t="s">
        <v>2041</v>
      </c>
      <c r="E918" s="16">
        <v>0</v>
      </c>
      <c r="F918" s="17">
        <v>45391</v>
      </c>
      <c r="G918" s="18" t="s">
        <v>14</v>
      </c>
      <c r="H918" s="18" t="s">
        <v>36</v>
      </c>
      <c r="I918" s="19">
        <v>2</v>
      </c>
      <c r="J918" s="18" t="s">
        <v>1753</v>
      </c>
      <c r="K918" s="19" t="s">
        <v>2033</v>
      </c>
      <c r="L918" s="14" t="s">
        <v>281</v>
      </c>
      <c r="M918" s="49" t="e">
        <f>+VLOOKUP(C918,'[1]Table 1'!$B:$B,1,0)</f>
        <v>#N/A</v>
      </c>
    </row>
    <row r="919" spans="1:13" ht="13.5" customHeight="1">
      <c r="A919" s="26">
        <f t="shared" si="13"/>
        <v>912</v>
      </c>
      <c r="B919" s="27" t="s">
        <v>2042</v>
      </c>
      <c r="C919" s="27" t="s">
        <v>2042</v>
      </c>
      <c r="D919" s="28" t="s">
        <v>1984</v>
      </c>
      <c r="E919" s="29">
        <v>0</v>
      </c>
      <c r="F919" s="30">
        <v>45391</v>
      </c>
      <c r="G919" s="31" t="s">
        <v>14</v>
      </c>
      <c r="H919" s="31" t="s">
        <v>36</v>
      </c>
      <c r="I919" s="32">
        <v>2</v>
      </c>
      <c r="J919" s="31" t="s">
        <v>1753</v>
      </c>
      <c r="K919" s="32" t="s">
        <v>2033</v>
      </c>
      <c r="L919" s="14" t="s">
        <v>281</v>
      </c>
      <c r="M919" s="49" t="e">
        <f>+VLOOKUP(C919,'[1]Table 1'!$B:$B,1,0)</f>
        <v>#N/A</v>
      </c>
    </row>
    <row r="920" spans="1:13" ht="13.5" customHeight="1">
      <c r="A920" s="26">
        <f t="shared" si="13"/>
        <v>913</v>
      </c>
      <c r="B920" s="27" t="s">
        <v>2043</v>
      </c>
      <c r="C920" s="27" t="s">
        <v>2043</v>
      </c>
      <c r="D920" s="28" t="s">
        <v>1986</v>
      </c>
      <c r="E920" s="29">
        <v>0</v>
      </c>
      <c r="F920" s="30">
        <v>45391</v>
      </c>
      <c r="G920" s="31" t="s">
        <v>14</v>
      </c>
      <c r="H920" s="31" t="s">
        <v>36</v>
      </c>
      <c r="I920" s="32">
        <v>2</v>
      </c>
      <c r="J920" s="31" t="s">
        <v>1753</v>
      </c>
      <c r="K920" s="32" t="s">
        <v>2033</v>
      </c>
      <c r="L920" s="14" t="s">
        <v>281</v>
      </c>
      <c r="M920" s="49" t="e">
        <f>+VLOOKUP(C920,'[1]Table 1'!$B:$B,1,0)</f>
        <v>#N/A</v>
      </c>
    </row>
    <row r="921" spans="1:13" ht="13.5" customHeight="1">
      <c r="A921" s="14">
        <f t="shared" si="13"/>
        <v>914</v>
      </c>
      <c r="B921" s="15" t="s">
        <v>2044</v>
      </c>
      <c r="C921" s="15" t="s">
        <v>2044</v>
      </c>
      <c r="D921" s="2" t="s">
        <v>2045</v>
      </c>
      <c r="E921" s="16">
        <v>0</v>
      </c>
      <c r="F921" s="17">
        <v>45391</v>
      </c>
      <c r="G921" s="18" t="s">
        <v>14</v>
      </c>
      <c r="H921" s="18" t="s">
        <v>36</v>
      </c>
      <c r="I921" s="19">
        <v>1</v>
      </c>
      <c r="J921" s="18" t="s">
        <v>1753</v>
      </c>
      <c r="K921" s="19" t="s">
        <v>2033</v>
      </c>
      <c r="L921" s="14" t="s">
        <v>281</v>
      </c>
      <c r="M921" s="49" t="e">
        <f>+VLOOKUP(C921,'[1]Table 1'!$B:$B,1,0)</f>
        <v>#N/A</v>
      </c>
    </row>
    <row r="922" spans="1:13" ht="13.5" customHeight="1">
      <c r="A922" s="14">
        <f t="shared" si="13"/>
        <v>915</v>
      </c>
      <c r="B922" s="15" t="s">
        <v>2046</v>
      </c>
      <c r="C922" s="15" t="s">
        <v>2046</v>
      </c>
      <c r="D922" s="2" t="s">
        <v>2047</v>
      </c>
      <c r="E922" s="16">
        <v>0</v>
      </c>
      <c r="F922" s="17">
        <v>45391</v>
      </c>
      <c r="G922" s="18" t="s">
        <v>14</v>
      </c>
      <c r="H922" s="18" t="s">
        <v>36</v>
      </c>
      <c r="I922" s="19">
        <v>2</v>
      </c>
      <c r="J922" s="18" t="s">
        <v>1753</v>
      </c>
      <c r="K922" s="19" t="s">
        <v>2033</v>
      </c>
      <c r="L922" s="14" t="s">
        <v>281</v>
      </c>
      <c r="M922" s="49" t="e">
        <f>+VLOOKUP(C922,'[1]Table 1'!$B:$B,1,0)</f>
        <v>#N/A</v>
      </c>
    </row>
    <row r="923" spans="1:13" ht="13.5" customHeight="1">
      <c r="A923" s="14">
        <f t="shared" si="13"/>
        <v>916</v>
      </c>
      <c r="B923" s="15" t="s">
        <v>2048</v>
      </c>
      <c r="C923" s="15" t="s">
        <v>2048</v>
      </c>
      <c r="D923" s="2" t="s">
        <v>2049</v>
      </c>
      <c r="E923" s="16">
        <v>0</v>
      </c>
      <c r="F923" s="17">
        <v>45391</v>
      </c>
      <c r="G923" s="18" t="s">
        <v>14</v>
      </c>
      <c r="H923" s="18" t="s">
        <v>36</v>
      </c>
      <c r="I923" s="19">
        <v>1</v>
      </c>
      <c r="J923" s="18" t="s">
        <v>1753</v>
      </c>
      <c r="K923" s="19" t="s">
        <v>2033</v>
      </c>
      <c r="L923" s="14" t="s">
        <v>281</v>
      </c>
      <c r="M923" s="49" t="e">
        <f>+VLOOKUP(C923,'[1]Table 1'!$B:$B,1,0)</f>
        <v>#N/A</v>
      </c>
    </row>
    <row r="924" spans="1:13" ht="13.5" customHeight="1">
      <c r="A924" s="14">
        <f t="shared" si="13"/>
        <v>917</v>
      </c>
      <c r="B924" s="15" t="s">
        <v>2050</v>
      </c>
      <c r="C924" s="15" t="s">
        <v>2050</v>
      </c>
      <c r="D924" s="2" t="s">
        <v>2051</v>
      </c>
      <c r="E924" s="16">
        <v>0</v>
      </c>
      <c r="F924" s="17">
        <v>45391</v>
      </c>
      <c r="G924" s="18" t="s">
        <v>14</v>
      </c>
      <c r="H924" s="18" t="s">
        <v>36</v>
      </c>
      <c r="I924" s="19">
        <v>1</v>
      </c>
      <c r="J924" s="18" t="s">
        <v>1753</v>
      </c>
      <c r="K924" s="19" t="s">
        <v>2033</v>
      </c>
      <c r="L924" s="14" t="s">
        <v>281</v>
      </c>
      <c r="M924" s="49" t="e">
        <f>+VLOOKUP(C924,'[1]Table 1'!$B:$B,1,0)</f>
        <v>#N/A</v>
      </c>
    </row>
    <row r="925" spans="1:13" ht="13.5" customHeight="1">
      <c r="A925" s="14">
        <f t="shared" si="13"/>
        <v>918</v>
      </c>
      <c r="B925" s="15" t="s">
        <v>2052</v>
      </c>
      <c r="C925" s="15" t="s">
        <v>2053</v>
      </c>
      <c r="D925" s="2" t="s">
        <v>2054</v>
      </c>
      <c r="E925" s="16" t="s">
        <v>335</v>
      </c>
      <c r="F925" s="17">
        <v>45391</v>
      </c>
      <c r="G925" s="18" t="s">
        <v>11</v>
      </c>
      <c r="H925" s="18" t="s">
        <v>36</v>
      </c>
      <c r="I925" s="19">
        <v>2</v>
      </c>
      <c r="J925" s="18" t="s">
        <v>37</v>
      </c>
      <c r="K925" s="19" t="s">
        <v>2033</v>
      </c>
      <c r="L925" s="14" t="s">
        <v>1965</v>
      </c>
      <c r="M925" s="49" t="e">
        <f>+VLOOKUP(C925,'[1]Table 1'!$B:$B,1,0)</f>
        <v>#N/A</v>
      </c>
    </row>
    <row r="926" spans="1:13" ht="13.5" customHeight="1">
      <c r="A926" s="14">
        <f t="shared" ref="A926:A954" si="14">ROW()-7</f>
        <v>919</v>
      </c>
      <c r="B926" s="15" t="s">
        <v>2055</v>
      </c>
      <c r="C926" s="15" t="s">
        <v>2055</v>
      </c>
      <c r="D926" s="2" t="s">
        <v>2056</v>
      </c>
      <c r="E926" s="16" t="s">
        <v>34</v>
      </c>
      <c r="F926" s="17">
        <v>45391</v>
      </c>
      <c r="G926" s="18" t="s">
        <v>9</v>
      </c>
      <c r="H926" s="18" t="s">
        <v>36</v>
      </c>
      <c r="I926" s="19">
        <v>6</v>
      </c>
      <c r="J926" s="18" t="s">
        <v>1753</v>
      </c>
      <c r="K926" s="19" t="s">
        <v>2033</v>
      </c>
      <c r="L926" s="14" t="s">
        <v>281</v>
      </c>
      <c r="M926" s="49" t="e">
        <f>+VLOOKUP(C926,'[1]Table 1'!$B:$B,1,0)</f>
        <v>#N/A</v>
      </c>
    </row>
    <row r="927" spans="1:13" ht="13.5" customHeight="1">
      <c r="A927" s="14">
        <f t="shared" si="14"/>
        <v>920</v>
      </c>
      <c r="B927" s="15" t="s">
        <v>2057</v>
      </c>
      <c r="C927" s="15" t="s">
        <v>2057</v>
      </c>
      <c r="D927" s="2" t="s">
        <v>2058</v>
      </c>
      <c r="E927" s="16" t="s">
        <v>34</v>
      </c>
      <c r="F927" s="17">
        <v>45391</v>
      </c>
      <c r="G927" s="18" t="s">
        <v>11</v>
      </c>
      <c r="H927" s="18" t="s">
        <v>36</v>
      </c>
      <c r="I927" s="19" t="s">
        <v>34</v>
      </c>
      <c r="J927" s="18" t="s">
        <v>37</v>
      </c>
      <c r="K927" s="19" t="s">
        <v>2033</v>
      </c>
      <c r="L927" s="14" t="s">
        <v>1965</v>
      </c>
      <c r="M927" s="49" t="e">
        <f>+VLOOKUP(C927,'[1]Table 1'!$B:$B,1,0)</f>
        <v>#N/A</v>
      </c>
    </row>
    <row r="928" spans="1:13" ht="13.5" customHeight="1">
      <c r="A928" s="14">
        <f t="shared" si="14"/>
        <v>921</v>
      </c>
      <c r="B928" s="15" t="s">
        <v>2059</v>
      </c>
      <c r="C928" s="15" t="s">
        <v>2059</v>
      </c>
      <c r="D928" s="2" t="s">
        <v>2060</v>
      </c>
      <c r="E928" s="16">
        <v>2</v>
      </c>
      <c r="F928" s="17">
        <v>45391</v>
      </c>
      <c r="G928" s="18" t="s">
        <v>10</v>
      </c>
      <c r="H928" s="18" t="s">
        <v>36</v>
      </c>
      <c r="I928" s="19">
        <v>17</v>
      </c>
      <c r="J928" s="18" t="s">
        <v>37</v>
      </c>
      <c r="K928" s="19" t="s">
        <v>2033</v>
      </c>
      <c r="L928" s="14" t="s">
        <v>1965</v>
      </c>
      <c r="M928" s="49" t="e">
        <f>+VLOOKUP(C928,'[1]Table 1'!$B:$B,1,0)</f>
        <v>#N/A</v>
      </c>
    </row>
    <row r="929" spans="1:13" ht="13.5" customHeight="1">
      <c r="A929" s="14">
        <f t="shared" si="14"/>
        <v>922</v>
      </c>
      <c r="B929" s="15" t="s">
        <v>2061</v>
      </c>
      <c r="C929" s="15" t="s">
        <v>2061</v>
      </c>
      <c r="D929" s="2" t="s">
        <v>2062</v>
      </c>
      <c r="E929" s="16">
        <v>2</v>
      </c>
      <c r="F929" s="17">
        <v>45391</v>
      </c>
      <c r="G929" s="18" t="s">
        <v>10</v>
      </c>
      <c r="H929" s="18" t="s">
        <v>36</v>
      </c>
      <c r="I929" s="19">
        <v>9</v>
      </c>
      <c r="J929" s="18" t="s">
        <v>37</v>
      </c>
      <c r="K929" s="19" t="s">
        <v>2033</v>
      </c>
      <c r="L929" s="14" t="s">
        <v>1965</v>
      </c>
      <c r="M929" s="49" t="e">
        <f>+VLOOKUP(C929,'[1]Table 1'!$B:$B,1,0)</f>
        <v>#N/A</v>
      </c>
    </row>
    <row r="930" spans="1:13" ht="13.5" customHeight="1">
      <c r="A930" s="14">
        <f t="shared" si="14"/>
        <v>923</v>
      </c>
      <c r="B930" s="15" t="s">
        <v>2063</v>
      </c>
      <c r="C930" s="15" t="s">
        <v>2063</v>
      </c>
      <c r="D930" s="2" t="s">
        <v>2064</v>
      </c>
      <c r="E930" s="16">
        <v>3</v>
      </c>
      <c r="F930" s="17">
        <v>45391</v>
      </c>
      <c r="G930" s="18" t="s">
        <v>11</v>
      </c>
      <c r="H930" s="18" t="s">
        <v>36</v>
      </c>
      <c r="I930" s="19" t="s">
        <v>34</v>
      </c>
      <c r="J930" s="18" t="s">
        <v>37</v>
      </c>
      <c r="K930" s="19" t="s">
        <v>2033</v>
      </c>
      <c r="L930" s="14" t="s">
        <v>1965</v>
      </c>
      <c r="M930" s="49" t="e">
        <f>+VLOOKUP(C930,'[1]Table 1'!$B:$B,1,0)</f>
        <v>#N/A</v>
      </c>
    </row>
    <row r="931" spans="1:13" ht="13.5" customHeight="1">
      <c r="A931" s="14">
        <f t="shared" si="14"/>
        <v>924</v>
      </c>
      <c r="B931" s="15" t="s">
        <v>2065</v>
      </c>
      <c r="C931" s="15" t="s">
        <v>2066</v>
      </c>
      <c r="D931" s="2" t="s">
        <v>2067</v>
      </c>
      <c r="E931" s="16">
        <v>0</v>
      </c>
      <c r="F931" s="17">
        <v>45391</v>
      </c>
      <c r="G931" s="18" t="s">
        <v>14</v>
      </c>
      <c r="H931" s="18" t="s">
        <v>36</v>
      </c>
      <c r="I931" s="19">
        <v>1</v>
      </c>
      <c r="J931" s="18" t="s">
        <v>1753</v>
      </c>
      <c r="K931" s="19" t="s">
        <v>2033</v>
      </c>
      <c r="L931" s="14" t="s">
        <v>281</v>
      </c>
      <c r="M931" s="49" t="e">
        <f>+VLOOKUP(C931,'[1]Table 1'!$B:$B,1,0)</f>
        <v>#N/A</v>
      </c>
    </row>
    <row r="932" spans="1:13" ht="13.5" customHeight="1">
      <c r="A932" s="14">
        <f t="shared" si="14"/>
        <v>925</v>
      </c>
      <c r="B932" s="15" t="s">
        <v>2068</v>
      </c>
      <c r="C932" s="15" t="s">
        <v>2069</v>
      </c>
      <c r="D932" s="2" t="s">
        <v>2070</v>
      </c>
      <c r="E932" s="16">
        <v>0</v>
      </c>
      <c r="F932" s="17">
        <v>45391</v>
      </c>
      <c r="G932" s="18" t="s">
        <v>14</v>
      </c>
      <c r="H932" s="18" t="s">
        <v>36</v>
      </c>
      <c r="I932" s="19">
        <v>1</v>
      </c>
      <c r="J932" s="18" t="s">
        <v>1753</v>
      </c>
      <c r="K932" s="19" t="s">
        <v>2033</v>
      </c>
      <c r="L932" s="14" t="s">
        <v>281</v>
      </c>
      <c r="M932" s="49" t="e">
        <f>+VLOOKUP(C932,'[1]Table 1'!$B:$B,1,0)</f>
        <v>#N/A</v>
      </c>
    </row>
    <row r="933" spans="1:13" ht="13.5" customHeight="1">
      <c r="A933" s="14">
        <f t="shared" si="14"/>
        <v>926</v>
      </c>
      <c r="B933" s="15" t="s">
        <v>2071</v>
      </c>
      <c r="C933" s="15" t="s">
        <v>2072</v>
      </c>
      <c r="D933" s="2" t="s">
        <v>2073</v>
      </c>
      <c r="E933" s="16">
        <v>0</v>
      </c>
      <c r="F933" s="17">
        <v>45391</v>
      </c>
      <c r="G933" s="18" t="s">
        <v>14</v>
      </c>
      <c r="H933" s="18" t="s">
        <v>36</v>
      </c>
      <c r="I933" s="19">
        <v>1</v>
      </c>
      <c r="J933" s="18" t="s">
        <v>1753</v>
      </c>
      <c r="K933" s="19" t="s">
        <v>2033</v>
      </c>
      <c r="L933" s="14" t="s">
        <v>281</v>
      </c>
      <c r="M933" s="49" t="e">
        <f>+VLOOKUP(C933,'[1]Table 1'!$B:$B,1,0)</f>
        <v>#N/A</v>
      </c>
    </row>
    <row r="934" spans="1:13" ht="13.5" customHeight="1">
      <c r="A934" s="14">
        <f t="shared" si="14"/>
        <v>927</v>
      </c>
      <c r="B934" s="15" t="s">
        <v>2074</v>
      </c>
      <c r="C934" s="15" t="s">
        <v>2075</v>
      </c>
      <c r="D934" s="2" t="s">
        <v>2076</v>
      </c>
      <c r="E934" s="16">
        <v>0</v>
      </c>
      <c r="F934" s="17">
        <v>45391</v>
      </c>
      <c r="G934" s="18" t="s">
        <v>14</v>
      </c>
      <c r="H934" s="18" t="s">
        <v>36</v>
      </c>
      <c r="I934" s="19">
        <v>1</v>
      </c>
      <c r="J934" s="18" t="s">
        <v>1753</v>
      </c>
      <c r="K934" s="19" t="s">
        <v>2033</v>
      </c>
      <c r="L934" s="14" t="s">
        <v>281</v>
      </c>
      <c r="M934" s="49" t="e">
        <f>+VLOOKUP(C934,'[1]Table 1'!$B:$B,1,0)</f>
        <v>#N/A</v>
      </c>
    </row>
    <row r="935" spans="1:13" ht="13.5" customHeight="1">
      <c r="A935" s="14">
        <f t="shared" si="14"/>
        <v>928</v>
      </c>
      <c r="B935" s="15" t="s">
        <v>2077</v>
      </c>
      <c r="C935" s="15" t="s">
        <v>2078</v>
      </c>
      <c r="D935" s="2" t="s">
        <v>2079</v>
      </c>
      <c r="E935" s="16">
        <v>0</v>
      </c>
      <c r="F935" s="17">
        <v>45391</v>
      </c>
      <c r="G935" s="18" t="s">
        <v>14</v>
      </c>
      <c r="H935" s="18" t="s">
        <v>36</v>
      </c>
      <c r="I935" s="19">
        <v>1</v>
      </c>
      <c r="J935" s="18" t="s">
        <v>1753</v>
      </c>
      <c r="K935" s="19" t="s">
        <v>2033</v>
      </c>
      <c r="L935" s="14" t="s">
        <v>281</v>
      </c>
      <c r="M935" s="49" t="e">
        <f>+VLOOKUP(C935,'[1]Table 1'!$B:$B,1,0)</f>
        <v>#N/A</v>
      </c>
    </row>
    <row r="936" spans="1:13" ht="13.5" customHeight="1">
      <c r="A936" s="14">
        <f t="shared" si="14"/>
        <v>929</v>
      </c>
      <c r="B936" s="15" t="s">
        <v>2080</v>
      </c>
      <c r="C936" s="15" t="s">
        <v>2081</v>
      </c>
      <c r="D936" s="2" t="s">
        <v>2082</v>
      </c>
      <c r="E936" s="16">
        <v>0</v>
      </c>
      <c r="F936" s="17">
        <v>45391</v>
      </c>
      <c r="G936" s="18" t="s">
        <v>14</v>
      </c>
      <c r="H936" s="18" t="s">
        <v>36</v>
      </c>
      <c r="I936" s="19">
        <v>1</v>
      </c>
      <c r="J936" s="18" t="s">
        <v>1753</v>
      </c>
      <c r="K936" s="19" t="s">
        <v>2033</v>
      </c>
      <c r="L936" s="14" t="s">
        <v>281</v>
      </c>
      <c r="M936" s="49" t="e">
        <f>+VLOOKUP(C936,'[1]Table 1'!$B:$B,1,0)</f>
        <v>#N/A</v>
      </c>
    </row>
    <row r="937" spans="1:13" ht="13.5" customHeight="1">
      <c r="A937" s="14">
        <f t="shared" si="14"/>
        <v>930</v>
      </c>
      <c r="B937" s="15" t="s">
        <v>2083</v>
      </c>
      <c r="C937" s="15" t="s">
        <v>2084</v>
      </c>
      <c r="D937" s="2" t="s">
        <v>2085</v>
      </c>
      <c r="E937" s="16">
        <v>0</v>
      </c>
      <c r="F937" s="17">
        <v>45391</v>
      </c>
      <c r="G937" s="18" t="s">
        <v>10</v>
      </c>
      <c r="H937" s="18" t="s">
        <v>36</v>
      </c>
      <c r="I937" s="19">
        <v>23</v>
      </c>
      <c r="J937" s="18" t="s">
        <v>1753</v>
      </c>
      <c r="K937" s="19" t="s">
        <v>2033</v>
      </c>
      <c r="L937" s="14" t="s">
        <v>1965</v>
      </c>
      <c r="M937" s="49" t="e">
        <f>+VLOOKUP(C937,'[1]Table 1'!$B:$B,1,0)</f>
        <v>#N/A</v>
      </c>
    </row>
    <row r="938" spans="1:13" ht="13.5" customHeight="1">
      <c r="A938" s="14">
        <f t="shared" si="14"/>
        <v>931</v>
      </c>
      <c r="B938" s="15" t="s">
        <v>2086</v>
      </c>
      <c r="C938" s="15" t="s">
        <v>2087</v>
      </c>
      <c r="D938" s="2" t="s">
        <v>2088</v>
      </c>
      <c r="E938" s="16">
        <v>0</v>
      </c>
      <c r="F938" s="17">
        <v>45391</v>
      </c>
      <c r="G938" s="18" t="s">
        <v>11</v>
      </c>
      <c r="H938" s="18" t="s">
        <v>36</v>
      </c>
      <c r="I938" s="19">
        <v>1</v>
      </c>
      <c r="J938" s="18" t="s">
        <v>1395</v>
      </c>
      <c r="K938" s="19" t="s">
        <v>2033</v>
      </c>
      <c r="L938" s="14" t="s">
        <v>281</v>
      </c>
      <c r="M938" s="49" t="e">
        <f>+VLOOKUP(C938,'[1]Table 1'!$B:$B,1,0)</f>
        <v>#N/A</v>
      </c>
    </row>
    <row r="939" spans="1:13" ht="13.5" customHeight="1">
      <c r="A939" s="14">
        <f t="shared" si="14"/>
        <v>932</v>
      </c>
      <c r="B939" s="15" t="s">
        <v>2089</v>
      </c>
      <c r="C939" s="15" t="s">
        <v>2090</v>
      </c>
      <c r="D939" s="2" t="s">
        <v>2091</v>
      </c>
      <c r="E939" s="16">
        <v>0</v>
      </c>
      <c r="F939" s="17">
        <v>45391</v>
      </c>
      <c r="G939" s="18" t="s">
        <v>13</v>
      </c>
      <c r="H939" s="18" t="s">
        <v>36</v>
      </c>
      <c r="I939" s="19">
        <v>2</v>
      </c>
      <c r="J939" s="18" t="s">
        <v>517</v>
      </c>
      <c r="K939" s="19" t="s">
        <v>2033</v>
      </c>
      <c r="L939" s="14" t="s">
        <v>281</v>
      </c>
      <c r="M939" s="49" t="e">
        <f>+VLOOKUP(C939,'[1]Table 1'!$B:$B,1,0)</f>
        <v>#N/A</v>
      </c>
    </row>
    <row r="940" spans="1:13" ht="13.5" customHeight="1">
      <c r="A940" s="14">
        <f t="shared" si="14"/>
        <v>933</v>
      </c>
      <c r="B940" s="15" t="s">
        <v>2092</v>
      </c>
      <c r="C940" s="15" t="s">
        <v>2093</v>
      </c>
      <c r="D940" s="2" t="s">
        <v>2094</v>
      </c>
      <c r="E940" s="16">
        <v>0</v>
      </c>
      <c r="F940" s="17">
        <v>45391</v>
      </c>
      <c r="G940" s="18" t="s">
        <v>14</v>
      </c>
      <c r="H940" s="18" t="s">
        <v>36</v>
      </c>
      <c r="I940" s="19">
        <v>1</v>
      </c>
      <c r="J940" s="18" t="s">
        <v>1395</v>
      </c>
      <c r="K940" s="19" t="s">
        <v>2033</v>
      </c>
      <c r="L940" s="14" t="s">
        <v>281</v>
      </c>
      <c r="M940" s="49" t="e">
        <f>+VLOOKUP(C940,'[1]Table 1'!$B:$B,1,0)</f>
        <v>#N/A</v>
      </c>
    </row>
    <row r="941" spans="1:13" ht="13.5" customHeight="1">
      <c r="A941" s="14">
        <f t="shared" si="14"/>
        <v>934</v>
      </c>
      <c r="B941" s="15" t="s">
        <v>2095</v>
      </c>
      <c r="C941" s="15" t="s">
        <v>2096</v>
      </c>
      <c r="D941" s="2" t="s">
        <v>2097</v>
      </c>
      <c r="E941" s="16">
        <v>0</v>
      </c>
      <c r="F941" s="17">
        <v>45391</v>
      </c>
      <c r="G941" s="18" t="s">
        <v>11</v>
      </c>
      <c r="H941" s="18" t="s">
        <v>36</v>
      </c>
      <c r="I941" s="19">
        <v>2</v>
      </c>
      <c r="J941" s="18" t="s">
        <v>1395</v>
      </c>
      <c r="K941" s="19" t="s">
        <v>2033</v>
      </c>
      <c r="L941" s="14" t="s">
        <v>281</v>
      </c>
      <c r="M941" s="49" t="e">
        <f>+VLOOKUP(C941,'[1]Table 1'!$B:$B,1,0)</f>
        <v>#N/A</v>
      </c>
    </row>
    <row r="942" spans="1:13" ht="13.5" hidden="1" customHeight="1">
      <c r="A942" s="14">
        <f t="shared" si="14"/>
        <v>935</v>
      </c>
      <c r="B942" s="15" t="s">
        <v>2098</v>
      </c>
      <c r="C942" s="15"/>
      <c r="D942" s="2" t="s">
        <v>2099</v>
      </c>
      <c r="E942" s="16">
        <v>0</v>
      </c>
      <c r="F942" s="17">
        <v>45391</v>
      </c>
      <c r="G942" s="18" t="s">
        <v>686</v>
      </c>
      <c r="H942" s="18" t="s">
        <v>36</v>
      </c>
      <c r="I942" s="19">
        <v>8</v>
      </c>
      <c r="J942" s="18" t="s">
        <v>1395</v>
      </c>
      <c r="K942" s="19" t="s">
        <v>2033</v>
      </c>
      <c r="L942" s="14" t="s">
        <v>38</v>
      </c>
      <c r="M942" s="49"/>
    </row>
    <row r="943" spans="1:13" ht="13.5" customHeight="1">
      <c r="A943" s="14">
        <f t="shared" si="14"/>
        <v>936</v>
      </c>
      <c r="B943" s="15" t="s">
        <v>2100</v>
      </c>
      <c r="C943" s="15" t="s">
        <v>2101</v>
      </c>
      <c r="D943" s="2" t="s">
        <v>2102</v>
      </c>
      <c r="E943" s="16">
        <v>0</v>
      </c>
      <c r="F943" s="17">
        <v>45391</v>
      </c>
      <c r="G943" s="18" t="s">
        <v>11</v>
      </c>
      <c r="H943" s="18" t="s">
        <v>36</v>
      </c>
      <c r="I943" s="19">
        <v>2</v>
      </c>
      <c r="J943" s="18" t="s">
        <v>1395</v>
      </c>
      <c r="K943" s="19" t="s">
        <v>2033</v>
      </c>
      <c r="L943" s="14" t="s">
        <v>281</v>
      </c>
      <c r="M943" s="49" t="e">
        <f>+VLOOKUP(C943,'[1]Table 1'!$B:$B,1,0)</f>
        <v>#N/A</v>
      </c>
    </row>
    <row r="944" spans="1:13" ht="13.5" customHeight="1">
      <c r="A944" s="14">
        <f t="shared" si="14"/>
        <v>937</v>
      </c>
      <c r="B944" s="15" t="s">
        <v>2103</v>
      </c>
      <c r="C944" s="15" t="s">
        <v>2104</v>
      </c>
      <c r="D944" s="2" t="s">
        <v>2105</v>
      </c>
      <c r="E944" s="16">
        <v>0</v>
      </c>
      <c r="F944" s="17">
        <v>45391</v>
      </c>
      <c r="G944" s="18" t="s">
        <v>11</v>
      </c>
      <c r="H944" s="18" t="s">
        <v>36</v>
      </c>
      <c r="I944" s="19">
        <v>2</v>
      </c>
      <c r="J944" s="18" t="s">
        <v>324</v>
      </c>
      <c r="K944" s="19" t="s">
        <v>2033</v>
      </c>
      <c r="L944" s="14" t="s">
        <v>281</v>
      </c>
      <c r="M944" s="49" t="e">
        <f>+VLOOKUP(C944,'[1]Table 1'!$B:$B,1,0)</f>
        <v>#N/A</v>
      </c>
    </row>
    <row r="945" spans="1:13" ht="13.5" hidden="1" customHeight="1">
      <c r="A945" s="14">
        <f t="shared" si="14"/>
        <v>938</v>
      </c>
      <c r="B945" s="15" t="s">
        <v>2106</v>
      </c>
      <c r="C945" s="15"/>
      <c r="D945" s="2" t="s">
        <v>2107</v>
      </c>
      <c r="E945" s="16" t="s">
        <v>2036</v>
      </c>
      <c r="F945" s="17">
        <v>45391</v>
      </c>
      <c r="G945" s="18" t="s">
        <v>686</v>
      </c>
      <c r="H945" s="18" t="s">
        <v>36</v>
      </c>
      <c r="I945" s="19">
        <v>11</v>
      </c>
      <c r="J945" s="18" t="s">
        <v>1395</v>
      </c>
      <c r="K945" s="19" t="s">
        <v>2033</v>
      </c>
      <c r="L945" s="14" t="s">
        <v>38</v>
      </c>
      <c r="M945" s="49"/>
    </row>
    <row r="946" spans="1:13" ht="13.5" customHeight="1">
      <c r="A946" s="14">
        <f t="shared" si="14"/>
        <v>939</v>
      </c>
      <c r="B946" s="15" t="s">
        <v>2108</v>
      </c>
      <c r="C946" s="15" t="s">
        <v>2109</v>
      </c>
      <c r="D946" s="2" t="s">
        <v>2110</v>
      </c>
      <c r="E946" s="16">
        <v>0</v>
      </c>
      <c r="F946" s="17">
        <v>45391</v>
      </c>
      <c r="G946" s="18" t="s">
        <v>14</v>
      </c>
      <c r="H946" s="18" t="s">
        <v>36</v>
      </c>
      <c r="I946" s="19">
        <v>3</v>
      </c>
      <c r="J946" s="18" t="s">
        <v>1395</v>
      </c>
      <c r="K946" s="19" t="s">
        <v>2033</v>
      </c>
      <c r="L946" s="14" t="s">
        <v>281</v>
      </c>
      <c r="M946" s="49" t="e">
        <f>+VLOOKUP(C946,'[1]Table 1'!$B:$B,1,0)</f>
        <v>#N/A</v>
      </c>
    </row>
    <row r="947" spans="1:13" ht="13.5" customHeight="1">
      <c r="A947" s="14">
        <f t="shared" si="14"/>
        <v>940</v>
      </c>
      <c r="B947" s="15" t="s">
        <v>2111</v>
      </c>
      <c r="C947" s="15" t="s">
        <v>2112</v>
      </c>
      <c r="D947" s="2" t="s">
        <v>2113</v>
      </c>
      <c r="E947" s="16">
        <v>5</v>
      </c>
      <c r="F947" s="17">
        <v>45391</v>
      </c>
      <c r="G947" s="18" t="s">
        <v>14</v>
      </c>
      <c r="H947" s="18" t="s">
        <v>36</v>
      </c>
      <c r="I947" s="19">
        <v>1</v>
      </c>
      <c r="J947" s="18" t="s">
        <v>1753</v>
      </c>
      <c r="K947" s="19" t="s">
        <v>2033</v>
      </c>
      <c r="L947" s="14" t="s">
        <v>281</v>
      </c>
      <c r="M947" s="49" t="e">
        <f>+VLOOKUP(C947,'[1]Table 1'!$B:$B,1,0)</f>
        <v>#N/A</v>
      </c>
    </row>
    <row r="948" spans="1:13" ht="13.5" customHeight="1">
      <c r="A948" s="26">
        <f t="shared" si="14"/>
        <v>941</v>
      </c>
      <c r="B948" s="27" t="s">
        <v>1977</v>
      </c>
      <c r="C948" s="27" t="s">
        <v>1977</v>
      </c>
      <c r="D948" s="28" t="s">
        <v>1978</v>
      </c>
      <c r="E948" s="29">
        <v>0</v>
      </c>
      <c r="F948" s="30">
        <v>45391</v>
      </c>
      <c r="G948" s="31" t="s">
        <v>14</v>
      </c>
      <c r="H948" s="31" t="s">
        <v>36</v>
      </c>
      <c r="I948" s="32">
        <v>1</v>
      </c>
      <c r="J948" s="31" t="s">
        <v>1753</v>
      </c>
      <c r="K948" s="32" t="s">
        <v>2033</v>
      </c>
      <c r="L948" s="14" t="s">
        <v>281</v>
      </c>
      <c r="M948" s="49" t="e">
        <f>+VLOOKUP(C948,'[1]Table 1'!$B:$B,1,0)</f>
        <v>#N/A</v>
      </c>
    </row>
    <row r="949" spans="1:13" ht="13.5" customHeight="1">
      <c r="A949" s="26">
        <f t="shared" si="14"/>
        <v>942</v>
      </c>
      <c r="B949" s="27" t="s">
        <v>1979</v>
      </c>
      <c r="C949" s="27" t="s">
        <v>1979</v>
      </c>
      <c r="D949" s="28" t="s">
        <v>1980</v>
      </c>
      <c r="E949" s="29">
        <v>0</v>
      </c>
      <c r="F949" s="30">
        <v>45391</v>
      </c>
      <c r="G949" s="31" t="s">
        <v>14</v>
      </c>
      <c r="H949" s="31" t="s">
        <v>36</v>
      </c>
      <c r="I949" s="32">
        <v>2</v>
      </c>
      <c r="J949" s="31" t="s">
        <v>1753</v>
      </c>
      <c r="K949" s="32" t="s">
        <v>2033</v>
      </c>
      <c r="L949" s="14" t="s">
        <v>281</v>
      </c>
      <c r="M949" s="49" t="e">
        <f>+VLOOKUP(C949,'[1]Table 1'!$B:$B,1,0)</f>
        <v>#N/A</v>
      </c>
    </row>
    <row r="950" spans="1:13" ht="13.5" hidden="1" customHeight="1">
      <c r="A950" s="20">
        <f t="shared" si="14"/>
        <v>943</v>
      </c>
      <c r="B950" s="21" t="s">
        <v>1981</v>
      </c>
      <c r="C950" s="21" t="s">
        <v>1981</v>
      </c>
      <c r="D950" s="1" t="s">
        <v>1982</v>
      </c>
      <c r="E950" s="22" t="s">
        <v>335</v>
      </c>
      <c r="F950" s="23">
        <v>45391</v>
      </c>
      <c r="G950" s="24" t="s">
        <v>14</v>
      </c>
      <c r="H950" s="24" t="s">
        <v>49</v>
      </c>
      <c r="I950" s="25">
        <v>2</v>
      </c>
      <c r="J950" s="24" t="s">
        <v>1753</v>
      </c>
      <c r="K950" s="25" t="s">
        <v>2033</v>
      </c>
      <c r="L950" s="14" t="s">
        <v>38</v>
      </c>
      <c r="M950" s="49" t="e">
        <f>+VLOOKUP(C950,'[1]Table 1'!$B:$B,1,0)</f>
        <v>#N/A</v>
      </c>
    </row>
    <row r="951" spans="1:13" ht="13.5" customHeight="1">
      <c r="A951" s="26">
        <f t="shared" si="14"/>
        <v>944</v>
      </c>
      <c r="B951" s="27" t="s">
        <v>1983</v>
      </c>
      <c r="C951" s="27" t="s">
        <v>1983</v>
      </c>
      <c r="D951" s="28" t="s">
        <v>1984</v>
      </c>
      <c r="E951" s="29">
        <v>0</v>
      </c>
      <c r="F951" s="30">
        <v>45391</v>
      </c>
      <c r="G951" s="31" t="s">
        <v>14</v>
      </c>
      <c r="H951" s="31" t="s">
        <v>36</v>
      </c>
      <c r="I951" s="32">
        <v>2</v>
      </c>
      <c r="J951" s="31" t="s">
        <v>1753</v>
      </c>
      <c r="K951" s="32" t="s">
        <v>2033</v>
      </c>
      <c r="L951" s="14" t="s">
        <v>281</v>
      </c>
      <c r="M951" s="49" t="e">
        <f>+VLOOKUP(C951,'[1]Table 1'!$B:$B,1,0)</f>
        <v>#N/A</v>
      </c>
    </row>
    <row r="952" spans="1:13" ht="13.5" customHeight="1">
      <c r="A952" s="26">
        <f t="shared" si="14"/>
        <v>945</v>
      </c>
      <c r="B952" s="27" t="s">
        <v>1985</v>
      </c>
      <c r="C952" s="27" t="s">
        <v>1985</v>
      </c>
      <c r="D952" s="28" t="s">
        <v>1986</v>
      </c>
      <c r="E952" s="29">
        <v>0</v>
      </c>
      <c r="F952" s="30">
        <v>45391</v>
      </c>
      <c r="G952" s="31" t="s">
        <v>14</v>
      </c>
      <c r="H952" s="31" t="s">
        <v>36</v>
      </c>
      <c r="I952" s="32">
        <v>2</v>
      </c>
      <c r="J952" s="31" t="s">
        <v>1753</v>
      </c>
      <c r="K952" s="32" t="s">
        <v>2033</v>
      </c>
      <c r="L952" s="14" t="s">
        <v>281</v>
      </c>
      <c r="M952" s="49" t="e">
        <f>+VLOOKUP(C952,'[1]Table 1'!$B:$B,1,0)</f>
        <v>#N/A</v>
      </c>
    </row>
    <row r="953" spans="1:13" ht="13.5" customHeight="1">
      <c r="A953" s="14">
        <f t="shared" si="14"/>
        <v>946</v>
      </c>
      <c r="B953" s="15" t="s">
        <v>2114</v>
      </c>
      <c r="C953" s="15" t="s">
        <v>2115</v>
      </c>
      <c r="D953" s="2" t="s">
        <v>2116</v>
      </c>
      <c r="E953" s="16">
        <v>1</v>
      </c>
      <c r="F953" s="17">
        <v>45391</v>
      </c>
      <c r="G953" s="18" t="s">
        <v>14</v>
      </c>
      <c r="H953" s="18" t="s">
        <v>36</v>
      </c>
      <c r="I953" s="19">
        <v>1</v>
      </c>
      <c r="J953" s="18" t="s">
        <v>1753</v>
      </c>
      <c r="K953" s="19" t="s">
        <v>2033</v>
      </c>
      <c r="L953" s="14" t="s">
        <v>281</v>
      </c>
      <c r="M953" s="49" t="e">
        <f>+VLOOKUP(C953,'[1]Table 1'!$B:$B,1,0)</f>
        <v>#N/A</v>
      </c>
    </row>
    <row r="954" spans="1:13" ht="13.5" customHeight="1">
      <c r="A954" s="14">
        <f t="shared" si="14"/>
        <v>947</v>
      </c>
      <c r="B954" s="15" t="s">
        <v>2117</v>
      </c>
      <c r="C954" s="15" t="s">
        <v>2117</v>
      </c>
      <c r="D954" s="2" t="s">
        <v>2118</v>
      </c>
      <c r="E954" s="16" t="s">
        <v>34</v>
      </c>
      <c r="F954" s="17">
        <v>45391</v>
      </c>
      <c r="G954" s="18" t="s">
        <v>11</v>
      </c>
      <c r="H954" s="18" t="s">
        <v>36</v>
      </c>
      <c r="I954" s="19" t="s">
        <v>34</v>
      </c>
      <c r="J954" s="18" t="s">
        <v>1753</v>
      </c>
      <c r="K954" s="19" t="s">
        <v>2033</v>
      </c>
      <c r="L954" s="14" t="s">
        <v>281</v>
      </c>
      <c r="M954" s="49" t="e">
        <f>+VLOOKUP(C954,'[1]Table 1'!$B:$B,1,0)</f>
        <v>#N/A</v>
      </c>
    </row>
    <row r="955" spans="1:13" ht="13.5" hidden="1" customHeight="1">
      <c r="A955" s="10"/>
      <c r="B955" s="11" t="s">
        <v>2119</v>
      </c>
      <c r="C955" s="11"/>
      <c r="D955" s="11"/>
      <c r="E955" s="12"/>
      <c r="F955" s="11"/>
      <c r="G955" s="11"/>
      <c r="H955" s="12"/>
      <c r="I955" s="12"/>
      <c r="J955" s="11"/>
      <c r="K955" s="13"/>
      <c r="L955" s="50"/>
      <c r="M955" s="49"/>
    </row>
    <row r="956" spans="1:13" ht="13.5" hidden="1" customHeight="1">
      <c r="A956" s="14">
        <f t="shared" ref="A956:A1018" si="15">ROW()-7</f>
        <v>949</v>
      </c>
      <c r="B956" s="15" t="s">
        <v>2120</v>
      </c>
      <c r="C956" s="15"/>
      <c r="D956" s="2" t="s">
        <v>2121</v>
      </c>
      <c r="E956" s="16" t="s">
        <v>34</v>
      </c>
      <c r="F956" s="17">
        <v>45404</v>
      </c>
      <c r="G956" s="18" t="s">
        <v>35</v>
      </c>
      <c r="H956" s="18" t="s">
        <v>36</v>
      </c>
      <c r="I956" s="19" t="s">
        <v>34</v>
      </c>
      <c r="J956" s="18" t="s">
        <v>37</v>
      </c>
      <c r="K956" s="19"/>
      <c r="L956" s="14" t="s">
        <v>38</v>
      </c>
      <c r="M956" s="49"/>
    </row>
    <row r="957" spans="1:13" ht="13.5" hidden="1" customHeight="1">
      <c r="A957" s="14">
        <f t="shared" si="15"/>
        <v>950</v>
      </c>
      <c r="B957" s="15" t="s">
        <v>2122</v>
      </c>
      <c r="C957" s="15"/>
      <c r="D957" s="2" t="s">
        <v>2123</v>
      </c>
      <c r="E957" s="16" t="s">
        <v>34</v>
      </c>
      <c r="F957" s="17">
        <v>45404</v>
      </c>
      <c r="G957" s="18" t="s">
        <v>35</v>
      </c>
      <c r="H957" s="18" t="s">
        <v>36</v>
      </c>
      <c r="I957" s="19" t="s">
        <v>34</v>
      </c>
      <c r="J957" s="18" t="s">
        <v>37</v>
      </c>
      <c r="K957" s="19"/>
      <c r="L957" s="14" t="s">
        <v>38</v>
      </c>
      <c r="M957" s="49"/>
    </row>
    <row r="958" spans="1:13" ht="13.5" hidden="1" customHeight="1">
      <c r="A958" s="14">
        <f t="shared" si="15"/>
        <v>951</v>
      </c>
      <c r="B958" s="15" t="s">
        <v>2124</v>
      </c>
      <c r="C958" s="15"/>
      <c r="D958" s="2" t="s">
        <v>2125</v>
      </c>
      <c r="E958" s="16" t="s">
        <v>34</v>
      </c>
      <c r="F958" s="17">
        <v>45404</v>
      </c>
      <c r="G958" s="18" t="s">
        <v>35</v>
      </c>
      <c r="H958" s="18" t="s">
        <v>36</v>
      </c>
      <c r="I958" s="19" t="s">
        <v>34</v>
      </c>
      <c r="J958" s="18" t="s">
        <v>37</v>
      </c>
      <c r="K958" s="19"/>
      <c r="L958" s="14" t="s">
        <v>38</v>
      </c>
      <c r="M958" s="49"/>
    </row>
    <row r="959" spans="1:13" ht="13.5" hidden="1" customHeight="1">
      <c r="A959" s="14">
        <f t="shared" si="15"/>
        <v>952</v>
      </c>
      <c r="B959" s="15" t="s">
        <v>2126</v>
      </c>
      <c r="C959" s="15"/>
      <c r="D959" s="2" t="s">
        <v>2127</v>
      </c>
      <c r="E959" s="16" t="s">
        <v>34</v>
      </c>
      <c r="F959" s="17">
        <v>45404</v>
      </c>
      <c r="G959" s="18" t="s">
        <v>35</v>
      </c>
      <c r="H959" s="18" t="s">
        <v>36</v>
      </c>
      <c r="I959" s="19" t="s">
        <v>34</v>
      </c>
      <c r="J959" s="18" t="s">
        <v>37</v>
      </c>
      <c r="K959" s="19"/>
      <c r="L959" s="14" t="s">
        <v>38</v>
      </c>
      <c r="M959" s="49"/>
    </row>
    <row r="960" spans="1:13" ht="13.5" hidden="1" customHeight="1">
      <c r="A960" s="26">
        <f t="shared" si="15"/>
        <v>953</v>
      </c>
      <c r="B960" s="27" t="s">
        <v>1727</v>
      </c>
      <c r="C960" s="27" t="s">
        <v>1727</v>
      </c>
      <c r="D960" s="28" t="s">
        <v>1728</v>
      </c>
      <c r="E960" s="29">
        <v>0</v>
      </c>
      <c r="F960" s="30">
        <v>45404</v>
      </c>
      <c r="G960" s="31" t="s">
        <v>8</v>
      </c>
      <c r="H960" s="31" t="s">
        <v>36</v>
      </c>
      <c r="I960" s="32">
        <v>229</v>
      </c>
      <c r="J960" s="31" t="s">
        <v>1589</v>
      </c>
      <c r="K960" s="32"/>
      <c r="L960" s="14" t="s">
        <v>281</v>
      </c>
      <c r="M960" s="49" t="str">
        <f>+VLOOKUP(C960,'[1]Table 1'!$B:$B,1,0)</f>
        <v>4600022667-001-03350-ESPES-00002</v>
      </c>
    </row>
    <row r="961" spans="1:13" ht="13.5" hidden="1" customHeight="1">
      <c r="A961" s="26">
        <f t="shared" si="15"/>
        <v>954</v>
      </c>
      <c r="B961" s="27" t="s">
        <v>1869</v>
      </c>
      <c r="C961" s="27" t="s">
        <v>1869</v>
      </c>
      <c r="D961" s="28" t="s">
        <v>1870</v>
      </c>
      <c r="E961" s="29">
        <v>1</v>
      </c>
      <c r="F961" s="30">
        <v>45404</v>
      </c>
      <c r="G961" s="31" t="s">
        <v>8</v>
      </c>
      <c r="H961" s="31" t="s">
        <v>36</v>
      </c>
      <c r="I961" s="32">
        <v>26</v>
      </c>
      <c r="J961" s="31" t="s">
        <v>1753</v>
      </c>
      <c r="K961" s="32"/>
      <c r="L961" s="14" t="s">
        <v>281</v>
      </c>
      <c r="M961" s="49" t="str">
        <f>+VLOOKUP(C961,'[1]Table 1'!$B:$B,1,0)</f>
        <v>4600022667-001-03350-ESPME-00002</v>
      </c>
    </row>
    <row r="962" spans="1:13" ht="13.5" hidden="1" customHeight="1">
      <c r="A962" s="33">
        <f t="shared" si="15"/>
        <v>955</v>
      </c>
      <c r="B962" s="34" t="s">
        <v>1872</v>
      </c>
      <c r="C962" s="34" t="s">
        <v>1872</v>
      </c>
      <c r="D962" s="35" t="s">
        <v>1873</v>
      </c>
      <c r="E962" s="36">
        <v>1</v>
      </c>
      <c r="F962" s="37">
        <v>45404</v>
      </c>
      <c r="G962" s="38" t="s">
        <v>8</v>
      </c>
      <c r="H962" s="38" t="s">
        <v>620</v>
      </c>
      <c r="I962" s="39">
        <v>47</v>
      </c>
      <c r="J962" s="38" t="s">
        <v>1753</v>
      </c>
      <c r="K962" s="39"/>
      <c r="L962" s="14" t="s">
        <v>281</v>
      </c>
      <c r="M962" s="49" t="str">
        <f>+VLOOKUP(C962,'[1]Table 1'!$B:$B,1,0)</f>
        <v>4600022667-001-03350-ESPME-00003</v>
      </c>
    </row>
    <row r="963" spans="1:13" ht="13.5" hidden="1" customHeight="1">
      <c r="A963" s="26">
        <f t="shared" si="15"/>
        <v>956</v>
      </c>
      <c r="B963" s="27" t="s">
        <v>1875</v>
      </c>
      <c r="C963" s="27" t="s">
        <v>1875</v>
      </c>
      <c r="D963" s="28" t="s">
        <v>1876</v>
      </c>
      <c r="E963" s="29">
        <v>0</v>
      </c>
      <c r="F963" s="30">
        <v>45404</v>
      </c>
      <c r="G963" s="31" t="s">
        <v>8</v>
      </c>
      <c r="H963" s="31" t="s">
        <v>36</v>
      </c>
      <c r="I963" s="32">
        <v>26</v>
      </c>
      <c r="J963" s="31" t="s">
        <v>1753</v>
      </c>
      <c r="K963" s="32"/>
      <c r="L963" s="14" t="s">
        <v>281</v>
      </c>
      <c r="M963" s="49" t="str">
        <f>+VLOOKUP(C963,'[1]Table 1'!$B:$B,1,0)</f>
        <v>4600022667-001-03350-ESPME-00004</v>
      </c>
    </row>
    <row r="964" spans="1:13" ht="13.5" hidden="1" customHeight="1">
      <c r="A964" s="26">
        <f t="shared" si="15"/>
        <v>957</v>
      </c>
      <c r="B964" s="27" t="s">
        <v>1878</v>
      </c>
      <c r="C964" s="27" t="s">
        <v>1878</v>
      </c>
      <c r="D964" s="28" t="s">
        <v>1879</v>
      </c>
      <c r="E964" s="29">
        <v>0</v>
      </c>
      <c r="F964" s="30">
        <v>45404</v>
      </c>
      <c r="G964" s="31" t="s">
        <v>8</v>
      </c>
      <c r="H964" s="31" t="s">
        <v>36</v>
      </c>
      <c r="I964" s="32">
        <v>20</v>
      </c>
      <c r="J964" s="31" t="s">
        <v>1753</v>
      </c>
      <c r="K964" s="32"/>
      <c r="L964" s="14" t="s">
        <v>281</v>
      </c>
      <c r="M964" s="49" t="str">
        <f>+VLOOKUP(C964,'[1]Table 1'!$B:$B,1,0)</f>
        <v>4600022667-001-03350-ESPME-00005</v>
      </c>
    </row>
    <row r="965" spans="1:13" ht="13.5" hidden="1" customHeight="1">
      <c r="A965" s="26">
        <f t="shared" si="15"/>
        <v>958</v>
      </c>
      <c r="B965" s="27" t="s">
        <v>453</v>
      </c>
      <c r="C965" s="27" t="s">
        <v>453</v>
      </c>
      <c r="D965" s="28" t="s">
        <v>454</v>
      </c>
      <c r="E965" s="29">
        <v>1</v>
      </c>
      <c r="F965" s="30">
        <v>45404</v>
      </c>
      <c r="G965" s="31" t="s">
        <v>9</v>
      </c>
      <c r="H965" s="31" t="s">
        <v>36</v>
      </c>
      <c r="I965" s="32">
        <v>13</v>
      </c>
      <c r="J965" s="31" t="s">
        <v>324</v>
      </c>
      <c r="K965" s="32"/>
      <c r="L965" s="14" t="s">
        <v>281</v>
      </c>
      <c r="M965" s="49" t="str">
        <f>+VLOOKUP(C965,'[1]Table 1'!$B:$B,1,0)</f>
        <v>4600022667-001-03350-HDDAT-00001</v>
      </c>
    </row>
    <row r="966" spans="1:13" ht="13.5" hidden="1" customHeight="1">
      <c r="A966" s="26">
        <f t="shared" si="15"/>
        <v>959</v>
      </c>
      <c r="B966" s="27" t="s">
        <v>2128</v>
      </c>
      <c r="C966" s="27" t="s">
        <v>456</v>
      </c>
      <c r="D966" s="28" t="s">
        <v>457</v>
      </c>
      <c r="E966" s="29">
        <v>1</v>
      </c>
      <c r="F966" s="30">
        <v>45404</v>
      </c>
      <c r="G966" s="31" t="s">
        <v>9</v>
      </c>
      <c r="H966" s="31" t="s">
        <v>36</v>
      </c>
      <c r="I966" s="32">
        <v>10</v>
      </c>
      <c r="J966" s="31" t="s">
        <v>324</v>
      </c>
      <c r="K966" s="32"/>
      <c r="L966" s="14" t="s">
        <v>281</v>
      </c>
      <c r="M966" s="49" t="str">
        <f>+VLOOKUP(C966,'[1]Table 1'!$B:$B,1,0)</f>
        <v>4600022667-001-03350-HDDAT-00002</v>
      </c>
    </row>
    <row r="967" spans="1:13" ht="13.5" hidden="1" customHeight="1">
      <c r="A967" s="26">
        <f t="shared" si="15"/>
        <v>960</v>
      </c>
      <c r="B967" s="27" t="s">
        <v>459</v>
      </c>
      <c r="C967" s="27" t="s">
        <v>459</v>
      </c>
      <c r="D967" s="28" t="s">
        <v>460</v>
      </c>
      <c r="E967" s="29">
        <v>1</v>
      </c>
      <c r="F967" s="30">
        <v>45404</v>
      </c>
      <c r="G967" s="31" t="s">
        <v>9</v>
      </c>
      <c r="H967" s="31" t="s">
        <v>36</v>
      </c>
      <c r="I967" s="32">
        <v>10</v>
      </c>
      <c r="J967" s="31" t="s">
        <v>324</v>
      </c>
      <c r="K967" s="32"/>
      <c r="L967" s="14" t="s">
        <v>281</v>
      </c>
      <c r="M967" s="49" t="str">
        <f>+VLOOKUP(C967,'[1]Table 1'!$B:$B,1,0)</f>
        <v>4600022667-001-03350-HDDAT-00003</v>
      </c>
    </row>
    <row r="968" spans="1:13" ht="13.5" hidden="1" customHeight="1">
      <c r="A968" s="26">
        <f t="shared" si="15"/>
        <v>961</v>
      </c>
      <c r="B968" s="27" t="s">
        <v>2129</v>
      </c>
      <c r="C968" s="27" t="s">
        <v>459</v>
      </c>
      <c r="D968" s="28" t="s">
        <v>460</v>
      </c>
      <c r="E968" s="29">
        <v>1</v>
      </c>
      <c r="F968" s="30">
        <v>45404</v>
      </c>
      <c r="G968" s="31" t="s">
        <v>9</v>
      </c>
      <c r="H968" s="31" t="s">
        <v>36</v>
      </c>
      <c r="I968" s="32">
        <v>10</v>
      </c>
      <c r="J968" s="31" t="s">
        <v>324</v>
      </c>
      <c r="K968" s="32"/>
      <c r="L968" s="14" t="s">
        <v>281</v>
      </c>
      <c r="M968" s="49" t="str">
        <f>+VLOOKUP(C968,'[1]Table 1'!$B:$B,1,0)</f>
        <v>4600022667-001-03350-HDDAT-00003</v>
      </c>
    </row>
    <row r="969" spans="1:13" ht="13.5" hidden="1" customHeight="1">
      <c r="A969" s="26">
        <f t="shared" si="15"/>
        <v>962</v>
      </c>
      <c r="B969" s="27" t="s">
        <v>462</v>
      </c>
      <c r="C969" s="27" t="s">
        <v>462</v>
      </c>
      <c r="D969" s="28" t="s">
        <v>463</v>
      </c>
      <c r="E969" s="29">
        <v>1</v>
      </c>
      <c r="F969" s="30">
        <v>45404</v>
      </c>
      <c r="G969" s="31" t="s">
        <v>9</v>
      </c>
      <c r="H969" s="31" t="s">
        <v>36</v>
      </c>
      <c r="I969" s="32">
        <v>9</v>
      </c>
      <c r="J969" s="31" t="s">
        <v>324</v>
      </c>
      <c r="K969" s="32"/>
      <c r="L969" s="14" t="s">
        <v>281</v>
      </c>
      <c r="M969" s="49" t="str">
        <f>+VLOOKUP(C969,'[1]Table 1'!$B:$B,1,0)</f>
        <v>4600022667-001-03350-HDDAT-00004</v>
      </c>
    </row>
    <row r="970" spans="1:13" ht="13.5" hidden="1" customHeight="1">
      <c r="A970" s="26">
        <f t="shared" si="15"/>
        <v>963</v>
      </c>
      <c r="B970" s="27" t="s">
        <v>465</v>
      </c>
      <c r="C970" s="27" t="s">
        <v>465</v>
      </c>
      <c r="D970" s="28" t="s">
        <v>466</v>
      </c>
      <c r="E970" s="29">
        <v>1</v>
      </c>
      <c r="F970" s="30">
        <v>45404</v>
      </c>
      <c r="G970" s="31" t="s">
        <v>9</v>
      </c>
      <c r="H970" s="31" t="s">
        <v>36</v>
      </c>
      <c r="I970" s="32">
        <v>17</v>
      </c>
      <c r="J970" s="31" t="s">
        <v>324</v>
      </c>
      <c r="K970" s="32"/>
      <c r="L970" s="14" t="s">
        <v>281</v>
      </c>
      <c r="M970" s="49" t="str">
        <f>+VLOOKUP(C970,'[1]Table 1'!$B:$B,1,0)</f>
        <v>4600022667-001-03350-HDDAT-00005</v>
      </c>
    </row>
    <row r="971" spans="1:13" ht="13.5" hidden="1" customHeight="1">
      <c r="A971" s="14">
        <f t="shared" si="15"/>
        <v>964</v>
      </c>
      <c r="B971" s="15" t="s">
        <v>2002</v>
      </c>
      <c r="C971" s="15" t="s">
        <v>2002</v>
      </c>
      <c r="D971" s="2" t="s">
        <v>2130</v>
      </c>
      <c r="E971" s="16">
        <v>0</v>
      </c>
      <c r="F971" s="17">
        <v>45404</v>
      </c>
      <c r="G971" s="18" t="s">
        <v>9</v>
      </c>
      <c r="H971" s="18" t="s">
        <v>36</v>
      </c>
      <c r="I971" s="19">
        <v>8</v>
      </c>
      <c r="J971" s="18" t="s">
        <v>324</v>
      </c>
      <c r="K971" s="19"/>
      <c r="L971" s="14" t="s">
        <v>281</v>
      </c>
      <c r="M971" s="49" t="str">
        <f>+VLOOKUP(C971,'[1]Table 1'!$B:$B,1,0)</f>
        <v>4600022667-001-03350-HDDAT-00006</v>
      </c>
    </row>
    <row r="972" spans="1:13" ht="13.5" hidden="1" customHeight="1">
      <c r="A972" s="26">
        <f t="shared" si="15"/>
        <v>965</v>
      </c>
      <c r="B972" s="27" t="s">
        <v>468</v>
      </c>
      <c r="C972" s="27" t="s">
        <v>468</v>
      </c>
      <c r="D972" s="28" t="s">
        <v>469</v>
      </c>
      <c r="E972" s="29">
        <v>1</v>
      </c>
      <c r="F972" s="30">
        <v>45404</v>
      </c>
      <c r="G972" s="31" t="s">
        <v>9</v>
      </c>
      <c r="H972" s="31" t="s">
        <v>36</v>
      </c>
      <c r="I972" s="32">
        <v>8</v>
      </c>
      <c r="J972" s="31" t="s">
        <v>324</v>
      </c>
      <c r="K972" s="32"/>
      <c r="L972" s="14" t="s">
        <v>281</v>
      </c>
      <c r="M972" s="49" t="str">
        <f>+VLOOKUP(C972,'[1]Table 1'!$B:$B,1,0)</f>
        <v>4600022667-001-03350-HDDAT-00007</v>
      </c>
    </row>
    <row r="973" spans="1:13" ht="13.5" hidden="1" customHeight="1">
      <c r="A973" s="26">
        <f t="shared" si="15"/>
        <v>966</v>
      </c>
      <c r="B973" s="27" t="s">
        <v>471</v>
      </c>
      <c r="C973" s="27" t="s">
        <v>471</v>
      </c>
      <c r="D973" s="28" t="s">
        <v>472</v>
      </c>
      <c r="E973" s="29">
        <v>0</v>
      </c>
      <c r="F973" s="30">
        <v>45404</v>
      </c>
      <c r="G973" s="31" t="s">
        <v>9</v>
      </c>
      <c r="H973" s="31" t="s">
        <v>36</v>
      </c>
      <c r="I973" s="32">
        <v>15</v>
      </c>
      <c r="J973" s="31" t="s">
        <v>324</v>
      </c>
      <c r="K973" s="32"/>
      <c r="L973" s="14" t="s">
        <v>281</v>
      </c>
      <c r="M973" s="49" t="str">
        <f>+VLOOKUP(C973,'[1]Table 1'!$B:$B,1,0)</f>
        <v>4600022667-001-03350-HDDAT-00008</v>
      </c>
    </row>
    <row r="974" spans="1:13" ht="13.5" hidden="1" customHeight="1">
      <c r="A974" s="26">
        <f t="shared" si="15"/>
        <v>967</v>
      </c>
      <c r="B974" s="27" t="s">
        <v>1896</v>
      </c>
      <c r="C974" s="27" t="s">
        <v>1896</v>
      </c>
      <c r="D974" s="28" t="s">
        <v>1897</v>
      </c>
      <c r="E974" s="29">
        <v>1</v>
      </c>
      <c r="F974" s="30">
        <v>45404</v>
      </c>
      <c r="G974" s="31" t="s">
        <v>9</v>
      </c>
      <c r="H974" s="31" t="s">
        <v>36</v>
      </c>
      <c r="I974" s="32">
        <v>15</v>
      </c>
      <c r="J974" s="31" t="s">
        <v>1753</v>
      </c>
      <c r="K974" s="32"/>
      <c r="L974" s="14" t="s">
        <v>281</v>
      </c>
      <c r="M974" s="49" t="str">
        <f>+VLOOKUP(C974,'[1]Table 1'!$B:$B,1,0)</f>
        <v>4600022667-001-03350-HDDME-00004</v>
      </c>
    </row>
    <row r="975" spans="1:13" ht="13.5" hidden="1" customHeight="1">
      <c r="A975" s="26">
        <f t="shared" si="15"/>
        <v>968</v>
      </c>
      <c r="B975" s="27" t="s">
        <v>1899</v>
      </c>
      <c r="C975" s="27" t="s">
        <v>1899</v>
      </c>
      <c r="D975" s="28" t="s">
        <v>1900</v>
      </c>
      <c r="E975" s="29">
        <v>0</v>
      </c>
      <c r="F975" s="30">
        <v>45404</v>
      </c>
      <c r="G975" s="31" t="s">
        <v>9</v>
      </c>
      <c r="H975" s="31" t="s">
        <v>36</v>
      </c>
      <c r="I975" s="32">
        <v>38</v>
      </c>
      <c r="J975" s="31" t="s">
        <v>1753</v>
      </c>
      <c r="K975" s="32"/>
      <c r="L975" s="14" t="s">
        <v>281</v>
      </c>
      <c r="M975" s="49" t="str">
        <f>+VLOOKUP(C975,'[1]Table 1'!$B:$B,1,0)</f>
        <v>4600022667-001-03350-HDDME-00005</v>
      </c>
    </row>
    <row r="976" spans="1:13" ht="13.5" hidden="1" customHeight="1">
      <c r="A976" s="26">
        <f t="shared" si="15"/>
        <v>969</v>
      </c>
      <c r="B976" s="27" t="s">
        <v>1902</v>
      </c>
      <c r="C976" s="27" t="s">
        <v>1902</v>
      </c>
      <c r="D976" s="28" t="s">
        <v>1903</v>
      </c>
      <c r="E976" s="29">
        <v>0</v>
      </c>
      <c r="F976" s="30">
        <v>45404</v>
      </c>
      <c r="G976" s="31" t="s">
        <v>9</v>
      </c>
      <c r="H976" s="31" t="s">
        <v>36</v>
      </c>
      <c r="I976" s="32">
        <v>17</v>
      </c>
      <c r="J976" s="31" t="s">
        <v>1753</v>
      </c>
      <c r="K976" s="32"/>
      <c r="L976" s="14" t="s">
        <v>281</v>
      </c>
      <c r="M976" s="49" t="str">
        <f>+VLOOKUP(C976,'[1]Table 1'!$B:$B,1,0)</f>
        <v>4600022667-001-03350-HDDME-00006</v>
      </c>
    </row>
    <row r="977" spans="1:13" ht="13.5" hidden="1" customHeight="1">
      <c r="A977" s="26">
        <f t="shared" si="15"/>
        <v>970</v>
      </c>
      <c r="B977" s="27" t="s">
        <v>1905</v>
      </c>
      <c r="C977" s="27" t="s">
        <v>1905</v>
      </c>
      <c r="D977" s="28" t="s">
        <v>1906</v>
      </c>
      <c r="E977" s="29">
        <v>0</v>
      </c>
      <c r="F977" s="30">
        <v>45404</v>
      </c>
      <c r="G977" s="31" t="s">
        <v>9</v>
      </c>
      <c r="H977" s="31" t="s">
        <v>36</v>
      </c>
      <c r="I977" s="32">
        <v>13</v>
      </c>
      <c r="J977" s="31" t="s">
        <v>1753</v>
      </c>
      <c r="K977" s="32"/>
      <c r="L977" s="14" t="s">
        <v>281</v>
      </c>
      <c r="M977" s="49" t="str">
        <f>+VLOOKUP(C977,'[1]Table 1'!$B:$B,1,0)</f>
        <v>4600022667-001-03350-HDDME-00007</v>
      </c>
    </row>
    <row r="978" spans="1:13" ht="13.5" hidden="1" customHeight="1">
      <c r="A978" s="33">
        <f t="shared" si="15"/>
        <v>971</v>
      </c>
      <c r="B978" s="34" t="s">
        <v>1908</v>
      </c>
      <c r="C978" s="34" t="s">
        <v>1908</v>
      </c>
      <c r="D978" s="35" t="s">
        <v>1909</v>
      </c>
      <c r="E978" s="36">
        <v>0</v>
      </c>
      <c r="F978" s="37">
        <v>45404</v>
      </c>
      <c r="G978" s="38" t="s">
        <v>11</v>
      </c>
      <c r="H978" s="38" t="s">
        <v>620</v>
      </c>
      <c r="I978" s="39">
        <v>8</v>
      </c>
      <c r="J978" s="38" t="s">
        <v>1753</v>
      </c>
      <c r="K978" s="39"/>
      <c r="L978" s="14" t="s">
        <v>281</v>
      </c>
      <c r="M978" s="49" t="str">
        <f>+VLOOKUP(C978,'[1]Table 1'!$B:$B,1,0)</f>
        <v>4600022667-001-03350-LSTME-00001</v>
      </c>
    </row>
    <row r="979" spans="1:13" ht="13.5" hidden="1" customHeight="1">
      <c r="A979" s="33">
        <f t="shared" si="15"/>
        <v>972</v>
      </c>
      <c r="B979" s="34" t="s">
        <v>1914</v>
      </c>
      <c r="C979" s="34" t="s">
        <v>1914</v>
      </c>
      <c r="D979" s="35" t="s">
        <v>1915</v>
      </c>
      <c r="E979" s="36">
        <v>0</v>
      </c>
      <c r="F979" s="37">
        <v>45404</v>
      </c>
      <c r="G979" s="38" t="s">
        <v>11</v>
      </c>
      <c r="H979" s="38" t="s">
        <v>620</v>
      </c>
      <c r="I979" s="39">
        <v>15</v>
      </c>
      <c r="J979" s="38" t="s">
        <v>1753</v>
      </c>
      <c r="K979" s="39"/>
      <c r="L979" s="14" t="s">
        <v>281</v>
      </c>
      <c r="M979" s="49" t="str">
        <f>+VLOOKUP(C979,'[1]Table 1'!$B:$B,1,0)</f>
        <v>4600022667-001-03350-LSTME-00003</v>
      </c>
    </row>
    <row r="980" spans="1:13" ht="13.5" hidden="1" customHeight="1">
      <c r="A980" s="14">
        <f t="shared" si="15"/>
        <v>973</v>
      </c>
      <c r="B980" s="15" t="s">
        <v>2131</v>
      </c>
      <c r="C980" s="15"/>
      <c r="D980" s="2" t="s">
        <v>2132</v>
      </c>
      <c r="E980" s="16" t="s">
        <v>34</v>
      </c>
      <c r="F980" s="17">
        <v>45404</v>
      </c>
      <c r="G980" s="18" t="s">
        <v>11</v>
      </c>
      <c r="H980" s="18" t="s">
        <v>36</v>
      </c>
      <c r="I980" s="19" t="s">
        <v>34</v>
      </c>
      <c r="J980" s="18" t="s">
        <v>91</v>
      </c>
      <c r="K980" s="19"/>
      <c r="L980" s="14" t="s">
        <v>38</v>
      </c>
      <c r="M980" s="49"/>
    </row>
    <row r="981" spans="1:13" ht="13.5" hidden="1" customHeight="1">
      <c r="A981" s="33">
        <f t="shared" si="15"/>
        <v>974</v>
      </c>
      <c r="B981" s="34" t="s">
        <v>2133</v>
      </c>
      <c r="C981" s="34"/>
      <c r="D981" s="35" t="s">
        <v>70</v>
      </c>
      <c r="E981" s="36">
        <v>2</v>
      </c>
      <c r="F981" s="37">
        <v>45404</v>
      </c>
      <c r="G981" s="38" t="s">
        <v>41</v>
      </c>
      <c r="H981" s="38" t="s">
        <v>620</v>
      </c>
      <c r="I981" s="39" t="s">
        <v>34</v>
      </c>
      <c r="J981" s="38" t="s">
        <v>68</v>
      </c>
      <c r="K981" s="39"/>
      <c r="L981" s="14" t="s">
        <v>38</v>
      </c>
      <c r="M981" s="49"/>
    </row>
    <row r="982" spans="1:13" ht="13.5" hidden="1" customHeight="1">
      <c r="A982" s="33">
        <f t="shared" si="15"/>
        <v>975</v>
      </c>
      <c r="B982" s="34" t="s">
        <v>2134</v>
      </c>
      <c r="C982" s="34"/>
      <c r="D982" s="35" t="s">
        <v>72</v>
      </c>
      <c r="E982" s="36">
        <v>2</v>
      </c>
      <c r="F982" s="37">
        <v>45404</v>
      </c>
      <c r="G982" s="38" t="s">
        <v>41</v>
      </c>
      <c r="H982" s="38" t="s">
        <v>620</v>
      </c>
      <c r="I982" s="39" t="s">
        <v>34</v>
      </c>
      <c r="J982" s="38" t="s">
        <v>68</v>
      </c>
      <c r="K982" s="39"/>
      <c r="L982" s="14" t="s">
        <v>38</v>
      </c>
      <c r="M982" s="49"/>
    </row>
    <row r="983" spans="1:13" ht="13.5" hidden="1" customHeight="1">
      <c r="A983" s="14">
        <f t="shared" si="15"/>
        <v>976</v>
      </c>
      <c r="B983" s="15" t="s">
        <v>2135</v>
      </c>
      <c r="C983" s="15" t="s">
        <v>2135</v>
      </c>
      <c r="D983" s="2" t="s">
        <v>2136</v>
      </c>
      <c r="E983" s="16" t="s">
        <v>335</v>
      </c>
      <c r="F983" s="17">
        <v>45404</v>
      </c>
      <c r="G983" s="18" t="s">
        <v>8</v>
      </c>
      <c r="H983" s="18" t="s">
        <v>36</v>
      </c>
      <c r="I983" s="19">
        <v>43</v>
      </c>
      <c r="J983" s="18" t="s">
        <v>491</v>
      </c>
      <c r="K983" s="19"/>
      <c r="L983" s="14" t="s">
        <v>281</v>
      </c>
      <c r="M983" s="49" t="s">
        <v>281</v>
      </c>
    </row>
    <row r="984" spans="1:13" ht="13.5" hidden="1" customHeight="1">
      <c r="A984" s="14">
        <f t="shared" si="15"/>
        <v>977</v>
      </c>
      <c r="B984" s="15" t="s">
        <v>2137</v>
      </c>
      <c r="C984" s="15" t="s">
        <v>2137</v>
      </c>
      <c r="D984" s="2" t="s">
        <v>2138</v>
      </c>
      <c r="E984" s="16" t="s">
        <v>335</v>
      </c>
      <c r="F984" s="17">
        <v>45404</v>
      </c>
      <c r="G984" s="18" t="s">
        <v>8</v>
      </c>
      <c r="H984" s="18" t="s">
        <v>36</v>
      </c>
      <c r="I984" s="19">
        <v>23</v>
      </c>
      <c r="J984" s="18" t="s">
        <v>491</v>
      </c>
      <c r="K984" s="19"/>
      <c r="L984" s="14" t="s">
        <v>281</v>
      </c>
      <c r="M984" s="49" t="s">
        <v>281</v>
      </c>
    </row>
    <row r="985" spans="1:13" ht="13.5" customHeight="1">
      <c r="A985" s="14">
        <f t="shared" si="15"/>
        <v>978</v>
      </c>
      <c r="B985" s="15" t="s">
        <v>2139</v>
      </c>
      <c r="C985" s="15" t="s">
        <v>2139</v>
      </c>
      <c r="D985" s="2" t="s">
        <v>2140</v>
      </c>
      <c r="E985" s="16">
        <v>1</v>
      </c>
      <c r="F985" s="17">
        <v>45404</v>
      </c>
      <c r="G985" s="18" t="s">
        <v>8</v>
      </c>
      <c r="H985" s="18" t="s">
        <v>36</v>
      </c>
      <c r="I985" s="19">
        <v>149</v>
      </c>
      <c r="J985" s="18" t="s">
        <v>1345</v>
      </c>
      <c r="K985" s="19"/>
      <c r="L985" s="14" t="s">
        <v>281</v>
      </c>
      <c r="M985" s="49" t="e">
        <f>+VLOOKUP(C985,'[1]Table 1'!$B:$B,1,0)</f>
        <v>#N/A</v>
      </c>
    </row>
    <row r="986" spans="1:13" ht="13.5" customHeight="1">
      <c r="A986" s="14">
        <f t="shared" si="15"/>
        <v>979</v>
      </c>
      <c r="B986" s="15" t="s">
        <v>2141</v>
      </c>
      <c r="C986" s="15" t="s">
        <v>2142</v>
      </c>
      <c r="D986" s="2" t="s">
        <v>2143</v>
      </c>
      <c r="E986" s="16">
        <v>5</v>
      </c>
      <c r="F986" s="17">
        <v>45404</v>
      </c>
      <c r="G986" s="18" t="s">
        <v>14</v>
      </c>
      <c r="H986" s="18" t="s">
        <v>36</v>
      </c>
      <c r="I986" s="19">
        <v>1</v>
      </c>
      <c r="J986" s="18" t="s">
        <v>1753</v>
      </c>
      <c r="K986" s="19"/>
      <c r="L986" s="14" t="s">
        <v>281</v>
      </c>
      <c r="M986" s="49" t="e">
        <f>+VLOOKUP(C986,'[1]Table 1'!$B:$B,1,0)</f>
        <v>#N/A</v>
      </c>
    </row>
    <row r="987" spans="1:13" ht="13.5" customHeight="1">
      <c r="A987" s="14">
        <f t="shared" si="15"/>
        <v>980</v>
      </c>
      <c r="B987" s="15" t="s">
        <v>2144</v>
      </c>
      <c r="C987" s="15" t="s">
        <v>2145</v>
      </c>
      <c r="D987" s="2" t="s">
        <v>2146</v>
      </c>
      <c r="E987" s="16">
        <v>3</v>
      </c>
      <c r="F987" s="17">
        <v>45404</v>
      </c>
      <c r="G987" s="18" t="s">
        <v>14</v>
      </c>
      <c r="H987" s="18" t="s">
        <v>36</v>
      </c>
      <c r="I987" s="19">
        <v>1</v>
      </c>
      <c r="J987" s="18" t="s">
        <v>1753</v>
      </c>
      <c r="K987" s="19"/>
      <c r="L987" s="14" t="s">
        <v>281</v>
      </c>
      <c r="M987" s="49" t="e">
        <f>+VLOOKUP(C987,'[1]Table 1'!$B:$B,1,0)</f>
        <v>#N/A</v>
      </c>
    </row>
    <row r="988" spans="1:13" ht="13.5" customHeight="1">
      <c r="A988" s="14">
        <f t="shared" si="15"/>
        <v>981</v>
      </c>
      <c r="B988" s="15" t="s">
        <v>2147</v>
      </c>
      <c r="C988" s="15" t="s">
        <v>2148</v>
      </c>
      <c r="D988" s="2" t="s">
        <v>2149</v>
      </c>
      <c r="E988" s="16">
        <v>2</v>
      </c>
      <c r="F988" s="17">
        <v>45404</v>
      </c>
      <c r="G988" s="18" t="s">
        <v>14</v>
      </c>
      <c r="H988" s="18" t="s">
        <v>36</v>
      </c>
      <c r="I988" s="19">
        <v>1</v>
      </c>
      <c r="J988" s="18" t="s">
        <v>1753</v>
      </c>
      <c r="K988" s="19"/>
      <c r="L988" s="14" t="s">
        <v>281</v>
      </c>
      <c r="M988" s="49" t="e">
        <f>+VLOOKUP(C988,'[1]Table 1'!$B:$B,1,0)</f>
        <v>#N/A</v>
      </c>
    </row>
    <row r="989" spans="1:13" ht="13.5" customHeight="1">
      <c r="A989" s="14">
        <f t="shared" si="15"/>
        <v>982</v>
      </c>
      <c r="B989" s="15" t="s">
        <v>2150</v>
      </c>
      <c r="C989" s="15" t="s">
        <v>2151</v>
      </c>
      <c r="D989" s="2" t="s">
        <v>2152</v>
      </c>
      <c r="E989" s="16">
        <v>0</v>
      </c>
      <c r="F989" s="17">
        <v>45404</v>
      </c>
      <c r="G989" s="18" t="s">
        <v>14</v>
      </c>
      <c r="H989" s="18" t="s">
        <v>36</v>
      </c>
      <c r="I989" s="19">
        <v>1</v>
      </c>
      <c r="J989" s="18" t="s">
        <v>1753</v>
      </c>
      <c r="K989" s="19"/>
      <c r="L989" s="14" t="s">
        <v>281</v>
      </c>
      <c r="M989" s="49" t="e">
        <f>+VLOOKUP(C989,'[1]Table 1'!$B:$B,1,0)</f>
        <v>#N/A</v>
      </c>
    </row>
    <row r="990" spans="1:13" ht="13.5" customHeight="1">
      <c r="A990" s="14">
        <f t="shared" si="15"/>
        <v>983</v>
      </c>
      <c r="B990" s="15" t="s">
        <v>2153</v>
      </c>
      <c r="C990" s="15" t="s">
        <v>2154</v>
      </c>
      <c r="D990" s="2" t="s">
        <v>2155</v>
      </c>
      <c r="E990" s="16">
        <v>0</v>
      </c>
      <c r="F990" s="17">
        <v>45404</v>
      </c>
      <c r="G990" s="18" t="s">
        <v>14</v>
      </c>
      <c r="H990" s="18" t="s">
        <v>36</v>
      </c>
      <c r="I990" s="19">
        <v>1</v>
      </c>
      <c r="J990" s="18" t="s">
        <v>1753</v>
      </c>
      <c r="K990" s="19"/>
      <c r="L990" s="14" t="s">
        <v>281</v>
      </c>
      <c r="M990" s="49" t="e">
        <f>+VLOOKUP(C990,'[1]Table 1'!$B:$B,1,0)</f>
        <v>#N/A</v>
      </c>
    </row>
    <row r="991" spans="1:13" ht="13.5" customHeight="1">
      <c r="A991" s="14">
        <f t="shared" si="15"/>
        <v>984</v>
      </c>
      <c r="B991" s="15" t="s">
        <v>2156</v>
      </c>
      <c r="C991" s="15" t="s">
        <v>2157</v>
      </c>
      <c r="D991" s="2" t="s">
        <v>2158</v>
      </c>
      <c r="E991" s="16">
        <v>4</v>
      </c>
      <c r="F991" s="17">
        <v>45404</v>
      </c>
      <c r="G991" s="18" t="s">
        <v>14</v>
      </c>
      <c r="H991" s="18" t="s">
        <v>36</v>
      </c>
      <c r="I991" s="19">
        <v>1</v>
      </c>
      <c r="J991" s="18" t="s">
        <v>1753</v>
      </c>
      <c r="K991" s="19"/>
      <c r="L991" s="14" t="s">
        <v>281</v>
      </c>
      <c r="M991" s="49" t="e">
        <f>+VLOOKUP(C991,'[1]Table 1'!$B:$B,1,0)</f>
        <v>#N/A</v>
      </c>
    </row>
    <row r="992" spans="1:13" ht="13.5" customHeight="1">
      <c r="A992" s="14">
        <f t="shared" si="15"/>
        <v>985</v>
      </c>
      <c r="B992" s="15" t="s">
        <v>2159</v>
      </c>
      <c r="C992" s="15" t="s">
        <v>2159</v>
      </c>
      <c r="D992" s="2" t="s">
        <v>2160</v>
      </c>
      <c r="E992" s="16" t="s">
        <v>34</v>
      </c>
      <c r="F992" s="17">
        <v>45404</v>
      </c>
      <c r="G992" s="18" t="s">
        <v>9</v>
      </c>
      <c r="H992" s="18" t="s">
        <v>36</v>
      </c>
      <c r="I992" s="19" t="s">
        <v>34</v>
      </c>
      <c r="J992" s="18" t="s">
        <v>1753</v>
      </c>
      <c r="K992" s="19"/>
      <c r="L992" s="14" t="s">
        <v>281</v>
      </c>
      <c r="M992" s="49" t="e">
        <f>+VLOOKUP(C992,'[1]Table 1'!$B:$B,1,0)</f>
        <v>#N/A</v>
      </c>
    </row>
    <row r="993" spans="1:13" ht="13.5" hidden="1" customHeight="1">
      <c r="A993" s="10"/>
      <c r="B993" s="11" t="s">
        <v>2161</v>
      </c>
      <c r="C993" s="11"/>
      <c r="D993" s="11"/>
      <c r="E993" s="12"/>
      <c r="F993" s="11"/>
      <c r="G993" s="11"/>
      <c r="H993" s="12"/>
      <c r="I993" s="12"/>
      <c r="J993" s="11"/>
      <c r="K993" s="13"/>
      <c r="L993" s="50"/>
      <c r="M993" s="49"/>
    </row>
    <row r="994" spans="1:13" ht="13.5" hidden="1" customHeight="1">
      <c r="A994" s="14">
        <f t="shared" si="15"/>
        <v>987</v>
      </c>
      <c r="B994" s="15" t="s">
        <v>2162</v>
      </c>
      <c r="C994" s="15"/>
      <c r="D994" s="15" t="s">
        <v>2163</v>
      </c>
      <c r="E994" s="16" t="s">
        <v>34</v>
      </c>
      <c r="F994" s="17">
        <v>45406</v>
      </c>
      <c r="G994" s="18" t="s">
        <v>35</v>
      </c>
      <c r="H994" s="18" t="s">
        <v>36</v>
      </c>
      <c r="I994" s="19" t="s">
        <v>34</v>
      </c>
      <c r="J994" s="18" t="s">
        <v>37</v>
      </c>
      <c r="K994" s="19"/>
      <c r="L994" s="14" t="s">
        <v>38</v>
      </c>
      <c r="M994" s="49"/>
    </row>
    <row r="995" spans="1:13" ht="13.5" hidden="1" customHeight="1">
      <c r="A995" s="14">
        <f t="shared" si="15"/>
        <v>988</v>
      </c>
      <c r="B995" s="15" t="s">
        <v>2164</v>
      </c>
      <c r="C995" s="15"/>
      <c r="D995" s="2" t="s">
        <v>2165</v>
      </c>
      <c r="E995" s="16" t="s">
        <v>34</v>
      </c>
      <c r="F995" s="17">
        <v>45406</v>
      </c>
      <c r="G995" s="18" t="s">
        <v>11</v>
      </c>
      <c r="H995" s="18" t="s">
        <v>36</v>
      </c>
      <c r="I995" s="19" t="s">
        <v>34</v>
      </c>
      <c r="J995" s="18" t="s">
        <v>91</v>
      </c>
      <c r="K995" s="19"/>
      <c r="L995" s="14" t="s">
        <v>38</v>
      </c>
      <c r="M995" s="49"/>
    </row>
    <row r="996" spans="1:13" ht="13.5" hidden="1" customHeight="1">
      <c r="A996" s="26">
        <f t="shared" si="15"/>
        <v>989</v>
      </c>
      <c r="B996" s="27" t="s">
        <v>727</v>
      </c>
      <c r="C996" s="27"/>
      <c r="D996" s="28" t="s">
        <v>728</v>
      </c>
      <c r="E996" s="29">
        <v>1</v>
      </c>
      <c r="F996" s="30">
        <v>45406</v>
      </c>
      <c r="G996" s="31" t="s">
        <v>686</v>
      </c>
      <c r="H996" s="31" t="s">
        <v>36</v>
      </c>
      <c r="I996" s="32">
        <v>13</v>
      </c>
      <c r="J996" s="31" t="s">
        <v>234</v>
      </c>
      <c r="K996" s="32"/>
      <c r="L996" s="14" t="s">
        <v>38</v>
      </c>
      <c r="M996" s="49"/>
    </row>
    <row r="997" spans="1:13" ht="13.5" customHeight="1">
      <c r="A997" s="14">
        <f t="shared" si="15"/>
        <v>990</v>
      </c>
      <c r="B997" s="15" t="s">
        <v>2166</v>
      </c>
      <c r="C997" s="15" t="s">
        <v>2166</v>
      </c>
      <c r="D997" s="2" t="s">
        <v>2167</v>
      </c>
      <c r="E997" s="16" t="s">
        <v>34</v>
      </c>
      <c r="F997" s="17">
        <v>45406</v>
      </c>
      <c r="G997" s="18" t="s">
        <v>12</v>
      </c>
      <c r="H997" s="18" t="s">
        <v>36</v>
      </c>
      <c r="I997" s="19" t="s">
        <v>34</v>
      </c>
      <c r="J997" s="18" t="s">
        <v>37</v>
      </c>
      <c r="K997" s="19"/>
      <c r="L997" s="14" t="s">
        <v>281</v>
      </c>
      <c r="M997" s="49" t="e">
        <f>+VLOOKUP(C997,'[1]Table 1'!$B:$B,1,0)</f>
        <v>#N/A</v>
      </c>
    </row>
    <row r="998" spans="1:13" ht="13.5" hidden="1" customHeight="1">
      <c r="A998" s="33">
        <f t="shared" si="15"/>
        <v>991</v>
      </c>
      <c r="B998" s="34" t="s">
        <v>2168</v>
      </c>
      <c r="C998" s="34"/>
      <c r="D998" s="35" t="s">
        <v>631</v>
      </c>
      <c r="E998" s="36">
        <v>1</v>
      </c>
      <c r="F998" s="37">
        <v>45406</v>
      </c>
      <c r="G998" s="38" t="s">
        <v>609</v>
      </c>
      <c r="H998" s="38" t="s">
        <v>620</v>
      </c>
      <c r="I998" s="39">
        <v>41</v>
      </c>
      <c r="J998" s="38" t="s">
        <v>234</v>
      </c>
      <c r="K998" s="39"/>
      <c r="L998" s="14" t="s">
        <v>38</v>
      </c>
      <c r="M998" s="49"/>
    </row>
    <row r="999" spans="1:13" ht="13.5" hidden="1" customHeight="1">
      <c r="A999" s="33">
        <f t="shared" si="15"/>
        <v>992</v>
      </c>
      <c r="B999" s="34" t="s">
        <v>2169</v>
      </c>
      <c r="C999" s="34"/>
      <c r="D999" s="35" t="s">
        <v>1163</v>
      </c>
      <c r="E999" s="36">
        <v>4</v>
      </c>
      <c r="F999" s="37">
        <v>45406</v>
      </c>
      <c r="G999" s="38" t="s">
        <v>94</v>
      </c>
      <c r="H999" s="38" t="s">
        <v>620</v>
      </c>
      <c r="I999" s="39">
        <v>13</v>
      </c>
      <c r="J999" s="38" t="s">
        <v>234</v>
      </c>
      <c r="K999" s="39"/>
      <c r="L999" s="14" t="s">
        <v>38</v>
      </c>
      <c r="M999" s="49"/>
    </row>
    <row r="1000" spans="1:13" ht="13.5" hidden="1" customHeight="1">
      <c r="A1000" s="14">
        <f t="shared" si="15"/>
        <v>993</v>
      </c>
      <c r="B1000" s="15" t="s">
        <v>2170</v>
      </c>
      <c r="C1000" s="15"/>
      <c r="D1000" s="2" t="s">
        <v>1157</v>
      </c>
      <c r="E1000" s="16">
        <v>7</v>
      </c>
      <c r="F1000" s="17">
        <v>45406</v>
      </c>
      <c r="G1000" s="18" t="s">
        <v>619</v>
      </c>
      <c r="H1000" s="18" t="s">
        <v>36</v>
      </c>
      <c r="I1000" s="19">
        <v>49</v>
      </c>
      <c r="J1000" s="18" t="s">
        <v>234</v>
      </c>
      <c r="K1000" s="19"/>
      <c r="L1000" s="14" t="s">
        <v>38</v>
      </c>
      <c r="M1000" s="49"/>
    </row>
    <row r="1001" spans="1:13" ht="13.5" hidden="1" customHeight="1">
      <c r="A1001" s="10"/>
      <c r="B1001" s="11" t="s">
        <v>2171</v>
      </c>
      <c r="C1001" s="11"/>
      <c r="D1001" s="11"/>
      <c r="E1001" s="12"/>
      <c r="F1001" s="11"/>
      <c r="G1001" s="11"/>
      <c r="H1001" s="12"/>
      <c r="I1001" s="12"/>
      <c r="J1001" s="11"/>
      <c r="K1001" s="13"/>
      <c r="L1001" s="50"/>
      <c r="M1001" s="49"/>
    </row>
    <row r="1002" spans="1:13" ht="13.5" hidden="1" customHeight="1">
      <c r="A1002" s="14">
        <f t="shared" si="15"/>
        <v>995</v>
      </c>
      <c r="B1002" s="15" t="s">
        <v>2172</v>
      </c>
      <c r="C1002" s="15"/>
      <c r="D1002" s="2" t="s">
        <v>2173</v>
      </c>
      <c r="E1002" s="16" t="s">
        <v>34</v>
      </c>
      <c r="F1002" s="17">
        <v>45408</v>
      </c>
      <c r="G1002" s="18" t="s">
        <v>35</v>
      </c>
      <c r="H1002" s="18" t="s">
        <v>36</v>
      </c>
      <c r="I1002" s="19" t="s">
        <v>34</v>
      </c>
      <c r="J1002" s="18" t="s">
        <v>37</v>
      </c>
      <c r="K1002" s="19"/>
      <c r="L1002" s="14" t="s">
        <v>38</v>
      </c>
      <c r="M1002" s="49"/>
    </row>
    <row r="1003" spans="1:13" ht="13.5" hidden="1" customHeight="1">
      <c r="A1003" s="33">
        <f t="shared" si="15"/>
        <v>996</v>
      </c>
      <c r="B1003" s="34" t="s">
        <v>1848</v>
      </c>
      <c r="C1003" s="34" t="s">
        <v>1848</v>
      </c>
      <c r="D1003" s="35" t="s">
        <v>1849</v>
      </c>
      <c r="E1003" s="36">
        <v>2</v>
      </c>
      <c r="F1003" s="37">
        <v>45408</v>
      </c>
      <c r="G1003" s="38" t="s">
        <v>14</v>
      </c>
      <c r="H1003" s="38" t="s">
        <v>620</v>
      </c>
      <c r="I1003" s="39">
        <v>1</v>
      </c>
      <c r="J1003" s="38" t="s">
        <v>1753</v>
      </c>
      <c r="K1003" s="39"/>
      <c r="L1003" s="14" t="s">
        <v>281</v>
      </c>
      <c r="M1003" s="49" t="str">
        <f>+VLOOKUP(C1003,'[1]Table 1'!$B:$B,1,0)</f>
        <v>4600022667-001-03350-103ME-00001</v>
      </c>
    </row>
    <row r="1004" spans="1:13" ht="13.5" hidden="1" customHeight="1">
      <c r="A1004" s="26">
        <f t="shared" si="15"/>
        <v>997</v>
      </c>
      <c r="B1004" s="27" t="s">
        <v>1851</v>
      </c>
      <c r="C1004" s="27" t="s">
        <v>1851</v>
      </c>
      <c r="D1004" s="28" t="s">
        <v>1852</v>
      </c>
      <c r="E1004" s="29">
        <v>1</v>
      </c>
      <c r="F1004" s="30">
        <v>45408</v>
      </c>
      <c r="G1004" s="31" t="s">
        <v>14</v>
      </c>
      <c r="H1004" s="31" t="s">
        <v>36</v>
      </c>
      <c r="I1004" s="32">
        <v>1</v>
      </c>
      <c r="J1004" s="31" t="s">
        <v>1753</v>
      </c>
      <c r="K1004" s="32"/>
      <c r="L1004" s="14" t="s">
        <v>281</v>
      </c>
      <c r="M1004" s="49" t="str">
        <f>+VLOOKUP(C1004,'[1]Table 1'!$B:$B,1,0)</f>
        <v>4600022667-001-03350-103ME-00002</v>
      </c>
    </row>
    <row r="1005" spans="1:13" ht="13.5" hidden="1" customHeight="1">
      <c r="A1005" s="26">
        <f t="shared" si="15"/>
        <v>998</v>
      </c>
      <c r="B1005" s="27" t="s">
        <v>1854</v>
      </c>
      <c r="C1005" s="27" t="s">
        <v>1854</v>
      </c>
      <c r="D1005" s="28" t="s">
        <v>1855</v>
      </c>
      <c r="E1005" s="29">
        <v>1</v>
      </c>
      <c r="F1005" s="30">
        <v>45408</v>
      </c>
      <c r="G1005" s="31" t="s">
        <v>14</v>
      </c>
      <c r="H1005" s="31" t="s">
        <v>36</v>
      </c>
      <c r="I1005" s="32">
        <v>1</v>
      </c>
      <c r="J1005" s="31" t="s">
        <v>1753</v>
      </c>
      <c r="K1005" s="32"/>
      <c r="L1005" s="14" t="s">
        <v>281</v>
      </c>
      <c r="M1005" s="49" t="str">
        <f>+VLOOKUP(C1005,'[1]Table 1'!$B:$B,1,0)</f>
        <v>4600022667-001-03350-103ME-00003</v>
      </c>
    </row>
    <row r="1006" spans="1:13" ht="13.5" hidden="1" customHeight="1">
      <c r="A1006" s="26">
        <f t="shared" si="15"/>
        <v>999</v>
      </c>
      <c r="B1006" s="27" t="s">
        <v>1857</v>
      </c>
      <c r="C1006" s="27" t="s">
        <v>1857</v>
      </c>
      <c r="D1006" s="28" t="s">
        <v>1858</v>
      </c>
      <c r="E1006" s="29">
        <v>0</v>
      </c>
      <c r="F1006" s="30">
        <v>45408</v>
      </c>
      <c r="G1006" s="31" t="s">
        <v>14</v>
      </c>
      <c r="H1006" s="31" t="s">
        <v>36</v>
      </c>
      <c r="I1006" s="32">
        <v>1</v>
      </c>
      <c r="J1006" s="31" t="s">
        <v>1753</v>
      </c>
      <c r="K1006" s="32"/>
      <c r="L1006" s="14" t="s">
        <v>281</v>
      </c>
      <c r="M1006" s="49" t="str">
        <f>+VLOOKUP(C1006,'[1]Table 1'!$B:$B,1,0)</f>
        <v>4600022667-001-03350-103ME-00004</v>
      </c>
    </row>
    <row r="1007" spans="1:13" ht="13.5" hidden="1" customHeight="1">
      <c r="A1007" s="10"/>
      <c r="B1007" s="11" t="s">
        <v>2174</v>
      </c>
      <c r="C1007" s="11"/>
      <c r="D1007" s="11"/>
      <c r="E1007" s="12"/>
      <c r="F1007" s="11"/>
      <c r="G1007" s="11"/>
      <c r="H1007" s="12"/>
      <c r="I1007" s="12"/>
      <c r="J1007" s="11"/>
      <c r="K1007" s="13"/>
      <c r="L1007" s="50"/>
      <c r="M1007" s="49"/>
    </row>
    <row r="1008" spans="1:13" ht="13.5" hidden="1" customHeight="1">
      <c r="A1008" s="14">
        <f t="shared" si="15"/>
        <v>1001</v>
      </c>
      <c r="B1008" s="15" t="s">
        <v>2175</v>
      </c>
      <c r="C1008" s="15"/>
      <c r="D1008" s="15" t="s">
        <v>2176</v>
      </c>
      <c r="E1008" s="16" t="s">
        <v>34</v>
      </c>
      <c r="F1008" s="17">
        <v>45418</v>
      </c>
      <c r="G1008" s="18" t="s">
        <v>35</v>
      </c>
      <c r="H1008" s="18" t="s">
        <v>36</v>
      </c>
      <c r="I1008" s="19" t="s">
        <v>34</v>
      </c>
      <c r="J1008" s="18" t="s">
        <v>37</v>
      </c>
      <c r="K1008" s="19"/>
      <c r="L1008" s="14" t="s">
        <v>38</v>
      </c>
      <c r="M1008" s="49"/>
    </row>
    <row r="1009" spans="1:13" ht="13.5" hidden="1" customHeight="1">
      <c r="A1009" s="10"/>
      <c r="B1009" s="11" t="s">
        <v>2177</v>
      </c>
      <c r="C1009" s="11"/>
      <c r="D1009" s="11"/>
      <c r="E1009" s="12"/>
      <c r="F1009" s="11"/>
      <c r="G1009" s="11"/>
      <c r="H1009" s="12"/>
      <c r="I1009" s="12"/>
      <c r="J1009" s="11"/>
      <c r="K1009" s="13"/>
      <c r="L1009" s="50"/>
      <c r="M1009" s="49"/>
    </row>
    <row r="1010" spans="1:13" ht="13.5" hidden="1" customHeight="1">
      <c r="A1010" s="14">
        <f t="shared" si="15"/>
        <v>1003</v>
      </c>
      <c r="B1010" s="15" t="s">
        <v>2178</v>
      </c>
      <c r="C1010" s="15"/>
      <c r="D1010" s="15" t="s">
        <v>2179</v>
      </c>
      <c r="E1010" s="16" t="s">
        <v>34</v>
      </c>
      <c r="F1010" s="17">
        <v>45429</v>
      </c>
      <c r="G1010" s="18" t="s">
        <v>35</v>
      </c>
      <c r="H1010" s="18" t="s">
        <v>36</v>
      </c>
      <c r="I1010" s="19" t="s">
        <v>34</v>
      </c>
      <c r="J1010" s="18" t="s">
        <v>37</v>
      </c>
      <c r="K1010" s="19"/>
      <c r="L1010" s="14" t="s">
        <v>38</v>
      </c>
      <c r="M1010" s="49"/>
    </row>
    <row r="1011" spans="1:13" ht="13.5" hidden="1" customHeight="1">
      <c r="A1011" s="10"/>
      <c r="B1011" s="11" t="s">
        <v>2180</v>
      </c>
      <c r="C1011" s="11"/>
      <c r="D1011" s="11"/>
      <c r="E1011" s="12"/>
      <c r="F1011" s="11"/>
      <c r="G1011" s="11"/>
      <c r="H1011" s="12"/>
      <c r="I1011" s="12"/>
      <c r="J1011" s="11"/>
      <c r="K1011" s="13"/>
      <c r="L1011" s="50"/>
      <c r="M1011" s="49"/>
    </row>
    <row r="1012" spans="1:13" ht="13.5" hidden="1" customHeight="1">
      <c r="A1012" s="14">
        <f t="shared" si="15"/>
        <v>1005</v>
      </c>
      <c r="B1012" s="15" t="s">
        <v>2181</v>
      </c>
      <c r="C1012" s="15"/>
      <c r="D1012" s="15" t="s">
        <v>2182</v>
      </c>
      <c r="E1012" s="16" t="s">
        <v>34</v>
      </c>
      <c r="F1012" s="17">
        <v>45435</v>
      </c>
      <c r="G1012" s="18" t="s">
        <v>35</v>
      </c>
      <c r="H1012" s="18" t="s">
        <v>36</v>
      </c>
      <c r="I1012" s="19" t="s">
        <v>34</v>
      </c>
      <c r="J1012" s="18" t="s">
        <v>37</v>
      </c>
      <c r="K1012" s="19"/>
      <c r="L1012" s="14" t="s">
        <v>38</v>
      </c>
      <c r="M1012" s="49"/>
    </row>
    <row r="1013" spans="1:13" ht="13.5" hidden="1" customHeight="1">
      <c r="A1013" s="10"/>
      <c r="B1013" s="11" t="s">
        <v>2183</v>
      </c>
      <c r="C1013" s="11"/>
      <c r="D1013" s="11"/>
      <c r="E1013" s="12"/>
      <c r="F1013" s="11"/>
      <c r="G1013" s="11"/>
      <c r="H1013" s="12"/>
      <c r="I1013" s="12"/>
      <c r="J1013" s="11"/>
      <c r="K1013" s="13"/>
      <c r="L1013" s="50"/>
      <c r="M1013" s="49"/>
    </row>
    <row r="1014" spans="1:13" ht="13.5" hidden="1" customHeight="1">
      <c r="A1014" s="14">
        <f t="shared" si="15"/>
        <v>1007</v>
      </c>
      <c r="B1014" s="15" t="s">
        <v>2184</v>
      </c>
      <c r="C1014" s="15"/>
      <c r="D1014" s="15" t="s">
        <v>2185</v>
      </c>
      <c r="E1014" s="16" t="s">
        <v>34</v>
      </c>
      <c r="F1014" s="17">
        <v>45440</v>
      </c>
      <c r="G1014" s="18" t="s">
        <v>35</v>
      </c>
      <c r="H1014" s="18" t="s">
        <v>36</v>
      </c>
      <c r="I1014" s="19" t="s">
        <v>34</v>
      </c>
      <c r="J1014" s="18" t="s">
        <v>37</v>
      </c>
      <c r="K1014" s="19"/>
      <c r="L1014" s="14" t="s">
        <v>38</v>
      </c>
      <c r="M1014" s="49"/>
    </row>
    <row r="1015" spans="1:13" ht="13.5" hidden="1" customHeight="1">
      <c r="A1015" s="10"/>
      <c r="B1015" s="11" t="s">
        <v>2186</v>
      </c>
      <c r="C1015" s="11"/>
      <c r="D1015" s="11"/>
      <c r="E1015" s="12"/>
      <c r="F1015" s="11"/>
      <c r="G1015" s="11"/>
      <c r="H1015" s="12"/>
      <c r="I1015" s="12"/>
      <c r="J1015" s="11"/>
      <c r="K1015" s="13"/>
      <c r="L1015" s="50"/>
      <c r="M1015" s="49"/>
    </row>
    <row r="1016" spans="1:13" ht="13.5" hidden="1" customHeight="1">
      <c r="A1016" s="14">
        <f t="shared" si="15"/>
        <v>1009</v>
      </c>
      <c r="B1016" s="15" t="s">
        <v>2187</v>
      </c>
      <c r="C1016" s="15"/>
      <c r="D1016" s="15" t="s">
        <v>2188</v>
      </c>
      <c r="E1016" s="16" t="s">
        <v>34</v>
      </c>
      <c r="F1016" s="17">
        <v>45454</v>
      </c>
      <c r="G1016" s="18" t="s">
        <v>35</v>
      </c>
      <c r="H1016" s="18" t="s">
        <v>36</v>
      </c>
      <c r="I1016" s="19" t="s">
        <v>34</v>
      </c>
      <c r="J1016" s="18" t="s">
        <v>37</v>
      </c>
      <c r="K1016" s="19"/>
      <c r="L1016" s="14" t="s">
        <v>38</v>
      </c>
      <c r="M1016" s="49"/>
    </row>
    <row r="1017" spans="1:13" ht="13.5" hidden="1" customHeight="1">
      <c r="A1017" s="14">
        <f t="shared" si="15"/>
        <v>1010</v>
      </c>
      <c r="B1017" s="15" t="s">
        <v>2189</v>
      </c>
      <c r="C1017" s="15"/>
      <c r="D1017" s="15" t="s">
        <v>2190</v>
      </c>
      <c r="E1017" s="16" t="s">
        <v>34</v>
      </c>
      <c r="F1017" s="17">
        <v>45454</v>
      </c>
      <c r="G1017" s="18" t="s">
        <v>35</v>
      </c>
      <c r="H1017" s="18" t="s">
        <v>36</v>
      </c>
      <c r="I1017" s="19" t="s">
        <v>34</v>
      </c>
      <c r="J1017" s="18" t="s">
        <v>37</v>
      </c>
      <c r="K1017" s="19"/>
      <c r="L1017" s="14" t="s">
        <v>38</v>
      </c>
      <c r="M1017" s="49"/>
    </row>
    <row r="1018" spans="1:13" ht="13.5" hidden="1" customHeight="1">
      <c r="A1018" s="33">
        <f t="shared" si="15"/>
        <v>1011</v>
      </c>
      <c r="B1018" s="34" t="s">
        <v>2191</v>
      </c>
      <c r="C1018" s="34"/>
      <c r="D1018" s="35" t="s">
        <v>48</v>
      </c>
      <c r="E1018" s="36">
        <v>1</v>
      </c>
      <c r="F1018" s="37">
        <v>45454</v>
      </c>
      <c r="G1018" s="38" t="s">
        <v>41</v>
      </c>
      <c r="H1018" s="38" t="s">
        <v>620</v>
      </c>
      <c r="I1018" s="39" t="s">
        <v>34</v>
      </c>
      <c r="J1018" s="38" t="s">
        <v>42</v>
      </c>
      <c r="K1018" s="39"/>
      <c r="L1018" s="14" t="s">
        <v>38</v>
      </c>
      <c r="M1018" s="49"/>
    </row>
    <row r="1019" spans="1:13" ht="13.5" hidden="1" customHeight="1">
      <c r="A1019" s="10"/>
      <c r="B1019" s="11" t="s">
        <v>2192</v>
      </c>
      <c r="C1019" s="11"/>
      <c r="D1019" s="11"/>
      <c r="E1019" s="12"/>
      <c r="F1019" s="11"/>
      <c r="G1019" s="11"/>
      <c r="H1019" s="12"/>
      <c r="I1019" s="12"/>
      <c r="J1019" s="11"/>
      <c r="K1019" s="13"/>
      <c r="L1019" s="50"/>
      <c r="M1019" s="49"/>
    </row>
    <row r="1020" spans="1:13" ht="13.5" hidden="1" customHeight="1">
      <c r="A1020" s="14">
        <f t="shared" ref="A1020:A1046" si="16">ROW()-7</f>
        <v>1013</v>
      </c>
      <c r="B1020" s="15" t="s">
        <v>2193</v>
      </c>
      <c r="C1020" s="15"/>
      <c r="D1020" s="15" t="s">
        <v>2194</v>
      </c>
      <c r="E1020" s="16" t="s">
        <v>34</v>
      </c>
      <c r="F1020" s="17">
        <v>45454</v>
      </c>
      <c r="G1020" s="18" t="s">
        <v>35</v>
      </c>
      <c r="H1020" s="18" t="s">
        <v>36</v>
      </c>
      <c r="I1020" s="19" t="s">
        <v>34</v>
      </c>
      <c r="J1020" s="18" t="s">
        <v>37</v>
      </c>
      <c r="K1020" s="19"/>
      <c r="L1020" s="14" t="s">
        <v>38</v>
      </c>
      <c r="M1020" s="49"/>
    </row>
    <row r="1021" spans="1:13" ht="13.5" hidden="1" customHeight="1">
      <c r="A1021" s="14">
        <f t="shared" si="16"/>
        <v>1014</v>
      </c>
      <c r="B1021" s="15" t="s">
        <v>2195</v>
      </c>
      <c r="C1021" s="15"/>
      <c r="D1021" s="15" t="s">
        <v>2196</v>
      </c>
      <c r="E1021" s="16" t="s">
        <v>34</v>
      </c>
      <c r="F1021" s="17">
        <v>45454</v>
      </c>
      <c r="G1021" s="18" t="s">
        <v>1108</v>
      </c>
      <c r="H1021" s="18" t="s">
        <v>36</v>
      </c>
      <c r="I1021" s="19">
        <v>2</v>
      </c>
      <c r="J1021" s="18" t="s">
        <v>37</v>
      </c>
      <c r="K1021" s="19"/>
      <c r="L1021" s="14" t="s">
        <v>38</v>
      </c>
      <c r="M1021" s="49"/>
    </row>
    <row r="1022" spans="1:13" ht="13.5" hidden="1" customHeight="1">
      <c r="A1022" s="10"/>
      <c r="B1022" s="11" t="s">
        <v>2197</v>
      </c>
      <c r="C1022" s="11"/>
      <c r="D1022" s="11"/>
      <c r="E1022" s="12"/>
      <c r="F1022" s="11"/>
      <c r="G1022" s="11"/>
      <c r="H1022" s="12"/>
      <c r="I1022" s="12"/>
      <c r="J1022" s="11"/>
      <c r="K1022" s="13"/>
      <c r="L1022" s="50"/>
      <c r="M1022" s="49"/>
    </row>
    <row r="1023" spans="1:13" ht="13.5" hidden="1" customHeight="1">
      <c r="A1023" s="14">
        <f t="shared" si="16"/>
        <v>1016</v>
      </c>
      <c r="B1023" s="15" t="s">
        <v>2198</v>
      </c>
      <c r="C1023" s="15"/>
      <c r="D1023" s="15" t="s">
        <v>2199</v>
      </c>
      <c r="E1023" s="16" t="s">
        <v>34</v>
      </c>
      <c r="F1023" s="17">
        <v>45512</v>
      </c>
      <c r="G1023" s="18" t="s">
        <v>35</v>
      </c>
      <c r="H1023" s="18" t="s">
        <v>36</v>
      </c>
      <c r="I1023" s="19" t="s">
        <v>34</v>
      </c>
      <c r="J1023" s="18" t="s">
        <v>37</v>
      </c>
      <c r="K1023" s="19"/>
      <c r="L1023" s="14" t="s">
        <v>38</v>
      </c>
      <c r="M1023" s="49"/>
    </row>
    <row r="1024" spans="1:13" ht="13.5" hidden="1" customHeight="1">
      <c r="A1024" s="10"/>
      <c r="B1024" s="11" t="s">
        <v>2200</v>
      </c>
      <c r="C1024" s="11"/>
      <c r="D1024" s="11"/>
      <c r="E1024" s="12"/>
      <c r="F1024" s="11"/>
      <c r="G1024" s="11"/>
      <c r="H1024" s="12"/>
      <c r="I1024" s="12"/>
      <c r="J1024" s="11"/>
      <c r="K1024" s="13"/>
      <c r="L1024" s="50"/>
      <c r="M1024" s="49"/>
    </row>
    <row r="1025" spans="1:13" ht="13.5" hidden="1" customHeight="1">
      <c r="A1025" s="14">
        <f t="shared" si="16"/>
        <v>1018</v>
      </c>
      <c r="B1025" s="15" t="s">
        <v>2201</v>
      </c>
      <c r="C1025" s="15"/>
      <c r="D1025" s="15" t="s">
        <v>2202</v>
      </c>
      <c r="E1025" s="16" t="s">
        <v>34</v>
      </c>
      <c r="F1025" s="17">
        <v>45889</v>
      </c>
      <c r="G1025" s="18" t="s">
        <v>2203</v>
      </c>
      <c r="H1025" s="18" t="s">
        <v>36</v>
      </c>
      <c r="I1025" s="19">
        <v>6</v>
      </c>
      <c r="J1025" s="18" t="s">
        <v>37</v>
      </c>
      <c r="K1025" s="19" t="s">
        <v>2204</v>
      </c>
      <c r="L1025" s="14" t="s">
        <v>38</v>
      </c>
      <c r="M1025" s="49"/>
    </row>
    <row r="1026" spans="1:13" ht="13.5" hidden="1" customHeight="1">
      <c r="A1026" s="14">
        <f t="shared" si="16"/>
        <v>1019</v>
      </c>
      <c r="B1026" s="15" t="s">
        <v>2205</v>
      </c>
      <c r="C1026" s="15"/>
      <c r="D1026" s="15" t="s">
        <v>2206</v>
      </c>
      <c r="E1026" s="16" t="s">
        <v>34</v>
      </c>
      <c r="F1026" s="17">
        <v>45889</v>
      </c>
      <c r="G1026" s="18" t="s">
        <v>2203</v>
      </c>
      <c r="H1026" s="18" t="s">
        <v>36</v>
      </c>
      <c r="I1026" s="19">
        <v>6</v>
      </c>
      <c r="J1026" s="18" t="s">
        <v>37</v>
      </c>
      <c r="K1026" s="19" t="s">
        <v>2204</v>
      </c>
      <c r="L1026" s="14" t="s">
        <v>38</v>
      </c>
      <c r="M1026" s="49"/>
    </row>
    <row r="1027" spans="1:13" ht="13.5" hidden="1" customHeight="1">
      <c r="A1027" s="14">
        <f t="shared" si="16"/>
        <v>1020</v>
      </c>
      <c r="B1027" s="15" t="s">
        <v>2207</v>
      </c>
      <c r="C1027" s="15"/>
      <c r="D1027" s="15" t="s">
        <v>2208</v>
      </c>
      <c r="E1027" s="16" t="s">
        <v>34</v>
      </c>
      <c r="F1027" s="17">
        <v>45889</v>
      </c>
      <c r="G1027" s="18" t="s">
        <v>2203</v>
      </c>
      <c r="H1027" s="18" t="s">
        <v>36</v>
      </c>
      <c r="I1027" s="19">
        <v>6</v>
      </c>
      <c r="J1027" s="18" t="s">
        <v>37</v>
      </c>
      <c r="K1027" s="19" t="s">
        <v>2204</v>
      </c>
      <c r="L1027" s="14" t="s">
        <v>38</v>
      </c>
      <c r="M1027" s="49"/>
    </row>
    <row r="1028" spans="1:13" ht="13.5" hidden="1" customHeight="1">
      <c r="A1028" s="14">
        <f t="shared" si="16"/>
        <v>1021</v>
      </c>
      <c r="B1028" s="15" t="s">
        <v>2209</v>
      </c>
      <c r="C1028" s="15"/>
      <c r="D1028" s="15" t="s">
        <v>2210</v>
      </c>
      <c r="E1028" s="16" t="s">
        <v>34</v>
      </c>
      <c r="F1028" s="17">
        <v>45889</v>
      </c>
      <c r="G1028" s="18" t="s">
        <v>2203</v>
      </c>
      <c r="H1028" s="18" t="s">
        <v>36</v>
      </c>
      <c r="I1028" s="19">
        <v>6</v>
      </c>
      <c r="J1028" s="18" t="s">
        <v>37</v>
      </c>
      <c r="K1028" s="19" t="s">
        <v>2204</v>
      </c>
      <c r="L1028" s="14" t="s">
        <v>38</v>
      </c>
      <c r="M1028" s="49"/>
    </row>
    <row r="1029" spans="1:13" ht="13.5" hidden="1" customHeight="1">
      <c r="A1029" s="14">
        <f t="shared" si="16"/>
        <v>1022</v>
      </c>
      <c r="B1029" s="15" t="s">
        <v>2211</v>
      </c>
      <c r="C1029" s="15"/>
      <c r="D1029" s="15" t="s">
        <v>2212</v>
      </c>
      <c r="E1029" s="16" t="s">
        <v>34</v>
      </c>
      <c r="F1029" s="17">
        <v>45889</v>
      </c>
      <c r="G1029" s="18" t="s">
        <v>2203</v>
      </c>
      <c r="H1029" s="18" t="s">
        <v>36</v>
      </c>
      <c r="I1029" s="19">
        <v>6</v>
      </c>
      <c r="J1029" s="18" t="s">
        <v>37</v>
      </c>
      <c r="K1029" s="19" t="s">
        <v>2204</v>
      </c>
      <c r="L1029" s="14" t="s">
        <v>38</v>
      </c>
      <c r="M1029" s="49"/>
    </row>
    <row r="1030" spans="1:13" ht="13.5" hidden="1" customHeight="1">
      <c r="A1030" s="14">
        <f t="shared" si="16"/>
        <v>1023</v>
      </c>
      <c r="B1030" s="15" t="s">
        <v>2213</v>
      </c>
      <c r="C1030" s="15"/>
      <c r="D1030" s="15" t="s">
        <v>2214</v>
      </c>
      <c r="E1030" s="16" t="s">
        <v>34</v>
      </c>
      <c r="F1030" s="17">
        <v>45889</v>
      </c>
      <c r="G1030" s="18" t="s">
        <v>2203</v>
      </c>
      <c r="H1030" s="18" t="s">
        <v>36</v>
      </c>
      <c r="I1030" s="19">
        <v>6</v>
      </c>
      <c r="J1030" s="18" t="s">
        <v>37</v>
      </c>
      <c r="K1030" s="19" t="s">
        <v>2204</v>
      </c>
      <c r="L1030" s="14" t="s">
        <v>38</v>
      </c>
      <c r="M1030" s="49"/>
    </row>
    <row r="1031" spans="1:13" ht="13.5" hidden="1" customHeight="1">
      <c r="A1031" s="14">
        <f t="shared" si="16"/>
        <v>1024</v>
      </c>
      <c r="B1031" s="15" t="s">
        <v>2215</v>
      </c>
      <c r="C1031" s="15"/>
      <c r="D1031" s="15" t="s">
        <v>2216</v>
      </c>
      <c r="E1031" s="16" t="s">
        <v>34</v>
      </c>
      <c r="F1031" s="17">
        <v>45889</v>
      </c>
      <c r="G1031" s="18" t="s">
        <v>2203</v>
      </c>
      <c r="H1031" s="18" t="s">
        <v>36</v>
      </c>
      <c r="I1031" s="19">
        <v>6</v>
      </c>
      <c r="J1031" s="18" t="s">
        <v>37</v>
      </c>
      <c r="K1031" s="19" t="s">
        <v>2204</v>
      </c>
      <c r="L1031" s="14" t="s">
        <v>38</v>
      </c>
      <c r="M1031" s="49"/>
    </row>
    <row r="1032" spans="1:13" ht="13.5" hidden="1" customHeight="1">
      <c r="A1032" s="14">
        <f t="shared" si="16"/>
        <v>1025</v>
      </c>
      <c r="B1032" s="15" t="s">
        <v>2217</v>
      </c>
      <c r="C1032" s="15"/>
      <c r="D1032" s="15" t="s">
        <v>2218</v>
      </c>
      <c r="E1032" s="16" t="s">
        <v>34</v>
      </c>
      <c r="F1032" s="17">
        <v>45889</v>
      </c>
      <c r="G1032" s="18" t="s">
        <v>2203</v>
      </c>
      <c r="H1032" s="18" t="s">
        <v>36</v>
      </c>
      <c r="I1032" s="19">
        <v>6</v>
      </c>
      <c r="J1032" s="18" t="s">
        <v>37</v>
      </c>
      <c r="K1032" s="19" t="s">
        <v>2204</v>
      </c>
      <c r="L1032" s="14" t="s">
        <v>38</v>
      </c>
      <c r="M1032" s="49"/>
    </row>
    <row r="1033" spans="1:13" ht="13.5" hidden="1" customHeight="1">
      <c r="A1033" s="14">
        <f t="shared" si="16"/>
        <v>1026</v>
      </c>
      <c r="B1033" s="15" t="s">
        <v>2219</v>
      </c>
      <c r="C1033" s="15"/>
      <c r="D1033" s="15" t="s">
        <v>2220</v>
      </c>
      <c r="E1033" s="16" t="s">
        <v>34</v>
      </c>
      <c r="F1033" s="17">
        <v>45889</v>
      </c>
      <c r="G1033" s="18" t="s">
        <v>2203</v>
      </c>
      <c r="H1033" s="18" t="s">
        <v>36</v>
      </c>
      <c r="I1033" s="19">
        <v>6</v>
      </c>
      <c r="J1033" s="18" t="s">
        <v>37</v>
      </c>
      <c r="K1033" s="19" t="s">
        <v>2204</v>
      </c>
      <c r="L1033" s="14" t="s">
        <v>38</v>
      </c>
      <c r="M1033" s="49"/>
    </row>
    <row r="1034" spans="1:13" ht="13.5" customHeight="1">
      <c r="A1034" s="14">
        <f t="shared" si="16"/>
        <v>1027</v>
      </c>
      <c r="B1034" s="15" t="s">
        <v>2221</v>
      </c>
      <c r="C1034" s="15" t="s">
        <v>2221</v>
      </c>
      <c r="D1034" s="15" t="s">
        <v>2222</v>
      </c>
      <c r="E1034" s="16" t="s">
        <v>34</v>
      </c>
      <c r="F1034" s="17">
        <v>45889</v>
      </c>
      <c r="G1034" s="18" t="s">
        <v>10</v>
      </c>
      <c r="H1034" s="18" t="s">
        <v>36</v>
      </c>
      <c r="I1034" s="19">
        <v>8</v>
      </c>
      <c r="J1034" s="18" t="s">
        <v>37</v>
      </c>
      <c r="K1034" s="19" t="s">
        <v>2204</v>
      </c>
      <c r="L1034" s="14" t="s">
        <v>1965</v>
      </c>
      <c r="M1034" s="49" t="e">
        <f>+VLOOKUP(C1034,'[1]Table 1'!$B:$B,1,0)</f>
        <v>#N/A</v>
      </c>
    </row>
    <row r="1035" spans="1:13" ht="13.5" hidden="1" customHeight="1">
      <c r="A1035" s="10"/>
      <c r="B1035" s="11" t="s">
        <v>2223</v>
      </c>
      <c r="C1035" s="11"/>
      <c r="D1035" s="11"/>
      <c r="E1035" s="12"/>
      <c r="F1035" s="11"/>
      <c r="G1035" s="11"/>
      <c r="H1035" s="12"/>
      <c r="I1035" s="12"/>
      <c r="J1035" s="11"/>
      <c r="K1035" s="13"/>
      <c r="L1035" s="50"/>
      <c r="M1035" s="49"/>
    </row>
    <row r="1036" spans="1:13" ht="13.5" hidden="1" customHeight="1">
      <c r="A1036" s="14">
        <f t="shared" si="16"/>
        <v>1029</v>
      </c>
      <c r="B1036" s="15" t="s">
        <v>2224</v>
      </c>
      <c r="C1036" s="15"/>
      <c r="D1036" s="15" t="s">
        <v>2225</v>
      </c>
      <c r="E1036" s="16" t="s">
        <v>34</v>
      </c>
      <c r="F1036" s="17">
        <v>45546</v>
      </c>
      <c r="G1036" s="18" t="s">
        <v>35</v>
      </c>
      <c r="H1036" s="18" t="s">
        <v>36</v>
      </c>
      <c r="I1036" s="19" t="s">
        <v>34</v>
      </c>
      <c r="J1036" s="18" t="s">
        <v>37</v>
      </c>
      <c r="K1036" s="19"/>
      <c r="L1036" s="14" t="s">
        <v>38</v>
      </c>
      <c r="M1036" s="49"/>
    </row>
    <row r="1037" spans="1:13" ht="13.5" hidden="1" customHeight="1">
      <c r="A1037" s="10"/>
      <c r="B1037" s="11" t="s">
        <v>2226</v>
      </c>
      <c r="C1037" s="11"/>
      <c r="D1037" s="11"/>
      <c r="E1037" s="12"/>
      <c r="F1037" s="11"/>
      <c r="G1037" s="11"/>
      <c r="H1037" s="12"/>
      <c r="I1037" s="12"/>
      <c r="J1037" s="11"/>
      <c r="K1037" s="13"/>
      <c r="L1037" s="50"/>
      <c r="M1037" s="49"/>
    </row>
    <row r="1038" spans="1:13" ht="13.5" hidden="1" customHeight="1">
      <c r="A1038" s="14">
        <f t="shared" si="16"/>
        <v>1031</v>
      </c>
      <c r="B1038" s="15" t="s">
        <v>2227</v>
      </c>
      <c r="C1038" s="15"/>
      <c r="D1038" s="15" t="s">
        <v>2228</v>
      </c>
      <c r="E1038" s="16" t="s">
        <v>34</v>
      </c>
      <c r="F1038" s="17">
        <v>45813</v>
      </c>
      <c r="G1038" s="18" t="s">
        <v>35</v>
      </c>
      <c r="H1038" s="18" t="s">
        <v>36</v>
      </c>
      <c r="I1038" s="19" t="s">
        <v>34</v>
      </c>
      <c r="J1038" s="18" t="s">
        <v>37</v>
      </c>
      <c r="K1038" s="19"/>
      <c r="L1038" s="14" t="s">
        <v>38</v>
      </c>
      <c r="M1038" s="49"/>
    </row>
    <row r="1039" spans="1:13" ht="13.5" hidden="1" customHeight="1">
      <c r="A1039" s="10"/>
      <c r="B1039" s="11" t="s">
        <v>2229</v>
      </c>
      <c r="C1039" s="11"/>
      <c r="D1039" s="11"/>
      <c r="E1039" s="12"/>
      <c r="F1039" s="11"/>
      <c r="G1039" s="11"/>
      <c r="H1039" s="12"/>
      <c r="I1039" s="12"/>
      <c r="J1039" s="11"/>
      <c r="K1039" s="13"/>
      <c r="L1039" s="50"/>
      <c r="M1039" s="49"/>
    </row>
    <row r="1040" spans="1:13" ht="13.5" hidden="1" customHeight="1">
      <c r="A1040" s="14">
        <f t="shared" si="16"/>
        <v>1033</v>
      </c>
      <c r="B1040" s="15" t="s">
        <v>2230</v>
      </c>
      <c r="C1040" s="15"/>
      <c r="D1040" s="15" t="s">
        <v>2231</v>
      </c>
      <c r="E1040" s="16" t="s">
        <v>34</v>
      </c>
      <c r="F1040" s="17">
        <v>45792</v>
      </c>
      <c r="G1040" s="18" t="s">
        <v>35</v>
      </c>
      <c r="H1040" s="18" t="s">
        <v>36</v>
      </c>
      <c r="I1040" s="19" t="s">
        <v>34</v>
      </c>
      <c r="J1040" s="18" t="s">
        <v>37</v>
      </c>
      <c r="K1040" s="19"/>
      <c r="L1040" s="14" t="s">
        <v>38</v>
      </c>
      <c r="M1040" s="49"/>
    </row>
    <row r="1041" spans="1:13" ht="13.5" hidden="1" customHeight="1">
      <c r="A1041" s="14">
        <f t="shared" si="16"/>
        <v>1034</v>
      </c>
      <c r="B1041" s="15" t="s">
        <v>2232</v>
      </c>
      <c r="C1041" s="15"/>
      <c r="D1041" s="15" t="s">
        <v>2233</v>
      </c>
      <c r="E1041" s="16"/>
      <c r="F1041" s="17"/>
      <c r="G1041" s="18"/>
      <c r="H1041" s="18"/>
      <c r="I1041" s="19"/>
      <c r="J1041" s="18"/>
      <c r="K1041" s="19"/>
      <c r="L1041" s="14"/>
      <c r="M1041" s="49"/>
    </row>
    <row r="1042" spans="1:13" ht="13.5" hidden="1" customHeight="1">
      <c r="A1042" s="10"/>
      <c r="B1042" s="11" t="s">
        <v>2234</v>
      </c>
      <c r="C1042" s="11"/>
      <c r="D1042" s="11"/>
      <c r="E1042" s="12"/>
      <c r="F1042" s="11"/>
      <c r="G1042" s="11"/>
      <c r="H1042" s="12"/>
      <c r="I1042" s="12"/>
      <c r="J1042" s="11"/>
      <c r="K1042" s="13"/>
      <c r="L1042" s="50"/>
      <c r="M1042" s="49"/>
    </row>
    <row r="1043" spans="1:13" ht="13.5" hidden="1" customHeight="1">
      <c r="A1043" s="14">
        <f t="shared" si="16"/>
        <v>1036</v>
      </c>
      <c r="B1043" s="15" t="s">
        <v>2235</v>
      </c>
      <c r="C1043" s="15"/>
      <c r="D1043" s="15" t="s">
        <v>2236</v>
      </c>
      <c r="E1043" s="16" t="s">
        <v>34</v>
      </c>
      <c r="F1043" s="17">
        <v>45813</v>
      </c>
      <c r="G1043" s="18" t="s">
        <v>35</v>
      </c>
      <c r="H1043" s="18" t="s">
        <v>36</v>
      </c>
      <c r="I1043" s="19" t="s">
        <v>34</v>
      </c>
      <c r="J1043" s="18" t="s">
        <v>37</v>
      </c>
      <c r="K1043" s="19"/>
      <c r="L1043" s="14" t="s">
        <v>38</v>
      </c>
      <c r="M1043" s="49"/>
    </row>
    <row r="1044" spans="1:13" ht="13.5" hidden="1" customHeight="1">
      <c r="A1044" s="14">
        <f t="shared" si="16"/>
        <v>1037</v>
      </c>
      <c r="B1044" s="15" t="s">
        <v>2237</v>
      </c>
      <c r="C1044" s="15"/>
      <c r="D1044" s="15" t="s">
        <v>2238</v>
      </c>
      <c r="E1044" s="16" t="s">
        <v>34</v>
      </c>
      <c r="F1044" s="17">
        <v>45813</v>
      </c>
      <c r="G1044" s="18" t="s">
        <v>35</v>
      </c>
      <c r="H1044" s="18" t="s">
        <v>36</v>
      </c>
      <c r="I1044" s="19" t="s">
        <v>34</v>
      </c>
      <c r="J1044" s="18" t="s">
        <v>37</v>
      </c>
      <c r="K1044" s="19"/>
      <c r="L1044" s="14" t="s">
        <v>38</v>
      </c>
      <c r="M1044" s="49"/>
    </row>
    <row r="1045" spans="1:13" ht="13.5" hidden="1" customHeight="1">
      <c r="A1045" s="10"/>
      <c r="B1045" s="11" t="s">
        <v>2239</v>
      </c>
      <c r="C1045" s="11"/>
      <c r="D1045" s="11"/>
      <c r="E1045" s="12"/>
      <c r="F1045" s="11"/>
      <c r="G1045" s="11"/>
      <c r="H1045" s="12"/>
      <c r="I1045" s="12"/>
      <c r="J1045" s="11"/>
      <c r="K1045" s="13"/>
      <c r="L1045" s="50"/>
      <c r="M1045" s="49"/>
    </row>
    <row r="1046" spans="1:13" ht="13.5" hidden="1" customHeight="1">
      <c r="A1046" s="14">
        <f t="shared" si="16"/>
        <v>1039</v>
      </c>
      <c r="B1046" s="15" t="s">
        <v>2240</v>
      </c>
      <c r="D1046" s="15" t="s">
        <v>2241</v>
      </c>
      <c r="E1046" s="16" t="s">
        <v>34</v>
      </c>
      <c r="F1046" s="17">
        <v>45819</v>
      </c>
      <c r="G1046" s="18" t="s">
        <v>35</v>
      </c>
      <c r="H1046" s="18" t="s">
        <v>36</v>
      </c>
      <c r="I1046" s="19" t="s">
        <v>34</v>
      </c>
      <c r="J1046" s="18" t="s">
        <v>37</v>
      </c>
      <c r="K1046" s="19"/>
      <c r="L1046" s="14" t="s">
        <v>38</v>
      </c>
      <c r="M1046" s="49"/>
    </row>
  </sheetData>
  <autoFilter ref="A6:M1046" xr:uid="{885D22F5-4DA1-4B6E-9219-1D0E35163766}">
    <filterColumn colId="11">
      <filters>
        <filter val="SI"/>
        <filter val="SI-"/>
      </filters>
    </filterColumn>
    <filterColumn colId="12">
      <filters>
        <filter val="#N/D"/>
      </filters>
    </filterColumn>
  </autoFilter>
  <mergeCells count="4">
    <mergeCell ref="A1:A5"/>
    <mergeCell ref="D1:K1"/>
    <mergeCell ref="D2:K3"/>
    <mergeCell ref="D4:K5"/>
  </mergeCells>
  <conditionalFormatting sqref="D27:D28">
    <cfRule type="duplicateValues" dxfId="35" priority="28" stopIfTrue="1"/>
  </conditionalFormatting>
  <conditionalFormatting sqref="D29:D30">
    <cfRule type="duplicateValues" dxfId="34" priority="27" stopIfTrue="1"/>
  </conditionalFormatting>
  <conditionalFormatting sqref="D34:D56">
    <cfRule type="duplicateValues" dxfId="33" priority="26" stopIfTrue="1"/>
  </conditionalFormatting>
  <conditionalFormatting sqref="D287">
    <cfRule type="duplicateValues" dxfId="32" priority="25" stopIfTrue="1"/>
  </conditionalFormatting>
  <conditionalFormatting sqref="D288">
    <cfRule type="duplicateValues" dxfId="31" priority="24" stopIfTrue="1"/>
  </conditionalFormatting>
  <conditionalFormatting sqref="D307">
    <cfRule type="duplicateValues" dxfId="30" priority="23" stopIfTrue="1"/>
  </conditionalFormatting>
  <conditionalFormatting sqref="D311">
    <cfRule type="duplicateValues" dxfId="29" priority="22" stopIfTrue="1"/>
  </conditionalFormatting>
  <conditionalFormatting sqref="D312:D317">
    <cfRule type="duplicateValues" dxfId="28" priority="21" stopIfTrue="1"/>
  </conditionalFormatting>
  <conditionalFormatting sqref="D320:D321">
    <cfRule type="duplicateValues" dxfId="27" priority="20" stopIfTrue="1"/>
  </conditionalFormatting>
  <conditionalFormatting sqref="D906:D907">
    <cfRule type="duplicateValues" dxfId="26" priority="18" stopIfTrue="1"/>
  </conditionalFormatting>
  <conditionalFormatting sqref="D994">
    <cfRule type="duplicateValues" dxfId="25" priority="17" stopIfTrue="1"/>
  </conditionalFormatting>
  <conditionalFormatting sqref="D1008">
    <cfRule type="duplicateValues" dxfId="24" priority="15" stopIfTrue="1"/>
  </conditionalFormatting>
  <conditionalFormatting sqref="D1010">
    <cfRule type="duplicateValues" dxfId="23" priority="13" stopIfTrue="1"/>
  </conditionalFormatting>
  <conditionalFormatting sqref="D1012">
    <cfRule type="duplicateValues" dxfId="22" priority="11" stopIfTrue="1"/>
  </conditionalFormatting>
  <conditionalFormatting sqref="D1014">
    <cfRule type="duplicateValues" dxfId="21" priority="9" stopIfTrue="1"/>
  </conditionalFormatting>
  <conditionalFormatting sqref="D1016:D1017">
    <cfRule type="duplicateValues" dxfId="20" priority="8" stopIfTrue="1"/>
  </conditionalFormatting>
  <conditionalFormatting sqref="D1020">
    <cfRule type="duplicateValues" dxfId="19" priority="7" stopIfTrue="1"/>
  </conditionalFormatting>
  <conditionalFormatting sqref="D1021 D1041 D1025:D1034">
    <cfRule type="duplicateValues" dxfId="18" priority="36" stopIfTrue="1"/>
  </conditionalFormatting>
  <conditionalFormatting sqref="D1023">
    <cfRule type="duplicateValues" dxfId="17" priority="6" stopIfTrue="1"/>
  </conditionalFormatting>
  <conditionalFormatting sqref="D1036">
    <cfRule type="duplicateValues" dxfId="16" priority="5" stopIfTrue="1"/>
  </conditionalFormatting>
  <conditionalFormatting sqref="D1038">
    <cfRule type="duplicateValues" dxfId="15" priority="4" stopIfTrue="1"/>
  </conditionalFormatting>
  <conditionalFormatting sqref="D1040">
    <cfRule type="duplicateValues" dxfId="14" priority="3" stopIfTrue="1"/>
  </conditionalFormatting>
  <conditionalFormatting sqref="D1043:D1044">
    <cfRule type="duplicateValues" dxfId="13" priority="2" stopIfTrue="1"/>
  </conditionalFormatting>
  <conditionalFormatting sqref="D1046">
    <cfRule type="duplicateValues" dxfId="12" priority="1" stopIfTrue="1"/>
  </conditionalFormatting>
  <conditionalFormatting sqref="B631:C632 B8:C114 B116:C629">
    <cfRule type="duplicateValues" dxfId="11" priority="37" stopIfTrue="1"/>
  </conditionalFormatting>
  <conditionalFormatting sqref="B634:C634 B636:C637 B639:C860">
    <cfRule type="duplicateValues" dxfId="10" priority="40" stopIfTrue="1"/>
  </conditionalFormatting>
  <conditionalFormatting sqref="B862:C864 B866:C867 B869:C870">
    <cfRule type="duplicateValues" dxfId="9" priority="43" stopIfTrue="1"/>
  </conditionalFormatting>
  <conditionalFormatting sqref="B872:C887">
    <cfRule type="duplicateValues" dxfId="8" priority="46" stopIfTrue="1"/>
  </conditionalFormatting>
  <conditionalFormatting sqref="B889:C954">
    <cfRule type="duplicateValues" dxfId="7" priority="47" stopIfTrue="1"/>
  </conditionalFormatting>
  <conditionalFormatting sqref="B956:C992">
    <cfRule type="duplicateValues" dxfId="6" priority="48" stopIfTrue="1"/>
  </conditionalFormatting>
  <conditionalFormatting sqref="B994:C1000 B1002:C1006">
    <cfRule type="duplicateValues" dxfId="5" priority="49" stopIfTrue="1"/>
  </conditionalFormatting>
  <conditionalFormatting sqref="B1008:C1008">
    <cfRule type="duplicateValues" dxfId="4" priority="51" stopIfTrue="1"/>
  </conditionalFormatting>
  <conditionalFormatting sqref="B1010:C1010">
    <cfRule type="duplicateValues" dxfId="3" priority="52" stopIfTrue="1"/>
  </conditionalFormatting>
  <conditionalFormatting sqref="B1012:C1012">
    <cfRule type="duplicateValues" dxfId="2" priority="53" stopIfTrue="1"/>
  </conditionalFormatting>
  <conditionalFormatting sqref="B1014:C1014">
    <cfRule type="duplicateValues" dxfId="1" priority="54" stopIfTrue="1"/>
  </conditionalFormatting>
  <conditionalFormatting sqref="B1016:C1018 B1020:C1021 B1023:C1023 B1025:C1034 B1036:C1036 B1038:C1038 B1040:C1041 B1043:C1044 B1046">
    <cfRule type="duplicateValues" dxfId="0" priority="55" stopIfTrue="1"/>
  </conditionalFormatting>
  <printOptions horizontalCentered="1"/>
  <pageMargins left="0.25" right="0.25" top="0.28999999999999998" bottom="0.28999999999999998" header="0.2" footer="0.2"/>
  <pageSetup paperSize="17" scale="48" fitToHeight="0" orientation="landscape" copies="2" r:id="rId1"/>
  <headerFooter alignWithMargins="0">
    <oddHeader xml:space="preserve">&amp;L&amp;",Normal"&amp;0
</oddHeader>
    <oddFooter>&amp;L&amp;8&amp;F&amp;C&amp;8&amp;P de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>
              <from>
                <xdr:col>1</xdr:col>
                <xdr:colOff>177800</xdr:colOff>
                <xdr:row>0</xdr:row>
                <xdr:rowOff>44450</xdr:rowOff>
              </from>
              <to>
                <xdr:col>1</xdr:col>
                <xdr:colOff>2667000</xdr:colOff>
                <xdr:row>5</xdr:row>
                <xdr:rowOff>0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D5D7-5BAE-4CE6-8A59-6A75EF8F3C58}">
  <dimension ref="A1:E327"/>
  <sheetViews>
    <sheetView workbookViewId="0">
      <pane xSplit="2" ySplit="3" topLeftCell="C210" activePane="bottomRight" state="frozen"/>
      <selection pane="bottomRight" activeCell="C256" sqref="C256"/>
      <selection pane="bottomLeft" activeCell="A3" sqref="A3"/>
      <selection pane="topRight" activeCell="C1" sqref="C1"/>
    </sheetView>
  </sheetViews>
  <sheetFormatPr defaultColWidth="8" defaultRowHeight="12.95"/>
  <cols>
    <col min="1" max="1" width="6.85546875" style="45" customWidth="1"/>
    <col min="2" max="2" width="40.140625" style="45" customWidth="1"/>
    <col min="3" max="3" width="9.85546875" style="54" customWidth="1"/>
    <col min="4" max="4" width="98.42578125" style="45" customWidth="1"/>
    <col min="5" max="5" width="28.5703125" style="45" customWidth="1"/>
    <col min="6" max="16384" width="8" style="45"/>
  </cols>
  <sheetData>
    <row r="1" spans="1:5">
      <c r="B1" s="53">
        <v>45957</v>
      </c>
    </row>
    <row r="3" spans="1:5" ht="24" customHeight="1">
      <c r="A3" s="55" t="s">
        <v>2242</v>
      </c>
      <c r="B3" s="56" t="s">
        <v>2243</v>
      </c>
      <c r="C3" s="57" t="s">
        <v>2244</v>
      </c>
      <c r="D3" s="58" t="s">
        <v>2245</v>
      </c>
      <c r="E3" s="59" t="s">
        <v>2246</v>
      </c>
    </row>
    <row r="4" spans="1:5" ht="11.45" customHeight="1">
      <c r="A4" s="60">
        <v>1</v>
      </c>
      <c r="B4" s="61" t="s">
        <v>2247</v>
      </c>
      <c r="C4" s="62">
        <v>1</v>
      </c>
      <c r="D4" s="63" t="s">
        <v>1301</v>
      </c>
      <c r="E4" s="64"/>
    </row>
    <row r="5" spans="1:5" ht="11.45" customHeight="1">
      <c r="A5" s="60">
        <v>2</v>
      </c>
      <c r="B5" s="61" t="s">
        <v>2248</v>
      </c>
      <c r="C5" s="62">
        <v>1</v>
      </c>
      <c r="D5" s="63" t="s">
        <v>2249</v>
      </c>
      <c r="E5" s="65"/>
    </row>
    <row r="6" spans="1:5" ht="11.45" customHeight="1">
      <c r="A6" s="60">
        <v>3</v>
      </c>
      <c r="B6" s="61" t="s">
        <v>2250</v>
      </c>
      <c r="C6" s="62">
        <v>1</v>
      </c>
      <c r="D6" s="63" t="s">
        <v>2251</v>
      </c>
      <c r="E6" s="65"/>
    </row>
    <row r="7" spans="1:5" ht="11.45" customHeight="1">
      <c r="A7" s="60">
        <v>4</v>
      </c>
      <c r="B7" s="61" t="s">
        <v>2252</v>
      </c>
      <c r="C7" s="62">
        <v>0</v>
      </c>
      <c r="D7" s="63" t="s">
        <v>323</v>
      </c>
      <c r="E7" s="61" t="s">
        <v>2253</v>
      </c>
    </row>
    <row r="8" spans="1:5" ht="11.45" customHeight="1">
      <c r="A8" s="60">
        <v>5</v>
      </c>
      <c r="B8" s="61" t="s">
        <v>2254</v>
      </c>
      <c r="C8" s="62">
        <v>0</v>
      </c>
      <c r="D8" s="63" t="s">
        <v>2255</v>
      </c>
      <c r="E8" s="61" t="s">
        <v>2256</v>
      </c>
    </row>
    <row r="9" spans="1:5" ht="11.45" customHeight="1">
      <c r="A9" s="60">
        <v>6</v>
      </c>
      <c r="B9" s="61" t="s">
        <v>2257</v>
      </c>
      <c r="C9" s="62">
        <v>0</v>
      </c>
      <c r="D9" s="63" t="s">
        <v>2258</v>
      </c>
      <c r="E9" s="61" t="s">
        <v>2259</v>
      </c>
    </row>
    <row r="10" spans="1:5" ht="11.45" customHeight="1">
      <c r="A10" s="60">
        <v>7</v>
      </c>
      <c r="B10" s="61" t="s">
        <v>2260</v>
      </c>
      <c r="C10" s="62">
        <v>0</v>
      </c>
      <c r="D10" s="63" t="s">
        <v>1394</v>
      </c>
      <c r="E10" s="65"/>
    </row>
    <row r="11" spans="1:5" ht="11.45" customHeight="1">
      <c r="A11" s="60">
        <v>8</v>
      </c>
      <c r="B11" s="61" t="s">
        <v>2261</v>
      </c>
      <c r="C11" s="62">
        <v>0</v>
      </c>
      <c r="D11" s="63" t="s">
        <v>1399</v>
      </c>
      <c r="E11" s="65"/>
    </row>
    <row r="12" spans="1:5" ht="11.45" customHeight="1">
      <c r="A12" s="60">
        <v>9</v>
      </c>
      <c r="B12" s="61" t="s">
        <v>2262</v>
      </c>
      <c r="C12" s="62">
        <v>0</v>
      </c>
      <c r="D12" s="63" t="s">
        <v>1402</v>
      </c>
      <c r="E12" s="64"/>
    </row>
    <row r="13" spans="1:5" ht="11.45" customHeight="1">
      <c r="A13" s="60">
        <v>10</v>
      </c>
      <c r="B13" s="61" t="s">
        <v>2263</v>
      </c>
      <c r="C13" s="62">
        <v>1</v>
      </c>
      <c r="D13" s="63" t="s">
        <v>2264</v>
      </c>
      <c r="E13" s="61" t="s">
        <v>2265</v>
      </c>
    </row>
    <row r="14" spans="1:5" ht="11.45" customHeight="1">
      <c r="A14" s="60">
        <v>11</v>
      </c>
      <c r="B14" s="61" t="s">
        <v>2266</v>
      </c>
      <c r="C14" s="62">
        <v>2</v>
      </c>
      <c r="D14" s="63" t="s">
        <v>2267</v>
      </c>
      <c r="E14" s="61" t="s">
        <v>2268</v>
      </c>
    </row>
    <row r="15" spans="1:5" ht="11.45" customHeight="1">
      <c r="A15" s="60">
        <v>12</v>
      </c>
      <c r="B15" s="61" t="s">
        <v>2269</v>
      </c>
      <c r="C15" s="62">
        <v>2</v>
      </c>
      <c r="D15" s="63" t="s">
        <v>2270</v>
      </c>
      <c r="E15" s="61" t="s">
        <v>2271</v>
      </c>
    </row>
    <row r="16" spans="1:5" ht="11.45" customHeight="1">
      <c r="A16" s="60">
        <v>13</v>
      </c>
      <c r="B16" s="61" t="s">
        <v>2272</v>
      </c>
      <c r="C16" s="62">
        <v>0</v>
      </c>
      <c r="D16" s="63" t="s">
        <v>1310</v>
      </c>
      <c r="E16" s="64"/>
    </row>
    <row r="17" spans="1:5" ht="11.45" customHeight="1">
      <c r="A17" s="60">
        <v>14</v>
      </c>
      <c r="B17" s="61" t="s">
        <v>2273</v>
      </c>
      <c r="C17" s="62">
        <v>0</v>
      </c>
      <c r="D17" s="63" t="s">
        <v>2274</v>
      </c>
      <c r="E17" s="64"/>
    </row>
    <row r="18" spans="1:5" ht="11.45" customHeight="1">
      <c r="A18" s="60">
        <v>15</v>
      </c>
      <c r="B18" s="61" t="s">
        <v>2275</v>
      </c>
      <c r="C18" s="62">
        <v>0</v>
      </c>
      <c r="D18" s="63" t="s">
        <v>2276</v>
      </c>
      <c r="E18" s="64"/>
    </row>
    <row r="19" spans="1:5" ht="11.45" customHeight="1">
      <c r="A19" s="60">
        <v>16</v>
      </c>
      <c r="B19" s="61" t="s">
        <v>2277</v>
      </c>
      <c r="C19" s="62">
        <v>3</v>
      </c>
      <c r="D19" s="63" t="s">
        <v>2278</v>
      </c>
      <c r="E19" s="61" t="s">
        <v>2279</v>
      </c>
    </row>
    <row r="20" spans="1:5" ht="11.45" customHeight="1">
      <c r="A20" s="60">
        <v>17</v>
      </c>
      <c r="B20" s="61" t="s">
        <v>2280</v>
      </c>
      <c r="C20" s="62">
        <v>1</v>
      </c>
      <c r="D20" s="63" t="s">
        <v>2281</v>
      </c>
      <c r="E20" s="61" t="s">
        <v>2282</v>
      </c>
    </row>
    <row r="21" spans="1:5" ht="11.45" customHeight="1">
      <c r="A21" s="60">
        <v>18</v>
      </c>
      <c r="B21" s="61" t="s">
        <v>2283</v>
      </c>
      <c r="C21" s="62">
        <v>0</v>
      </c>
      <c r="D21" s="63" t="s">
        <v>1405</v>
      </c>
      <c r="E21" s="65"/>
    </row>
    <row r="22" spans="1:5" ht="11.45" customHeight="1">
      <c r="A22" s="60">
        <v>19</v>
      </c>
      <c r="B22" s="61" t="s">
        <v>2284</v>
      </c>
      <c r="C22" s="62">
        <v>0</v>
      </c>
      <c r="D22" s="63" t="s">
        <v>1408</v>
      </c>
      <c r="E22" s="65"/>
    </row>
    <row r="23" spans="1:5" ht="11.45" customHeight="1">
      <c r="A23" s="60">
        <v>20</v>
      </c>
      <c r="B23" s="61" t="s">
        <v>2285</v>
      </c>
      <c r="C23" s="62">
        <v>0</v>
      </c>
      <c r="D23" s="63" t="s">
        <v>1411</v>
      </c>
      <c r="E23" s="65"/>
    </row>
    <row r="24" spans="1:5" ht="11.45" customHeight="1">
      <c r="A24" s="60">
        <v>21</v>
      </c>
      <c r="B24" s="61" t="s">
        <v>2286</v>
      </c>
      <c r="C24" s="62">
        <v>0</v>
      </c>
      <c r="D24" s="63" t="s">
        <v>1833</v>
      </c>
      <c r="E24" s="65"/>
    </row>
    <row r="25" spans="1:5" ht="11.45" customHeight="1">
      <c r="A25" s="60">
        <v>22</v>
      </c>
      <c r="B25" s="61" t="s">
        <v>2287</v>
      </c>
      <c r="C25" s="62">
        <v>0</v>
      </c>
      <c r="D25" s="63" t="s">
        <v>2288</v>
      </c>
      <c r="E25" s="61" t="s">
        <v>2289</v>
      </c>
    </row>
    <row r="26" spans="1:5" ht="11.45" customHeight="1">
      <c r="A26" s="60">
        <v>23</v>
      </c>
      <c r="B26" s="61" t="s">
        <v>2290</v>
      </c>
      <c r="C26" s="62">
        <v>0</v>
      </c>
      <c r="D26" s="63" t="s">
        <v>2291</v>
      </c>
      <c r="E26" s="61" t="s">
        <v>2292</v>
      </c>
    </row>
    <row r="27" spans="1:5" ht="11.45" customHeight="1">
      <c r="A27" s="60">
        <v>24</v>
      </c>
      <c r="B27" s="61" t="s">
        <v>2293</v>
      </c>
      <c r="C27" s="62">
        <v>0</v>
      </c>
      <c r="D27" s="63" t="s">
        <v>2294</v>
      </c>
      <c r="E27" s="61" t="s">
        <v>2295</v>
      </c>
    </row>
    <row r="28" spans="1:5" ht="11.45" customHeight="1">
      <c r="A28" s="60">
        <v>25</v>
      </c>
      <c r="B28" s="61" t="s">
        <v>2296</v>
      </c>
      <c r="C28" s="62">
        <v>0</v>
      </c>
      <c r="D28" s="63" t="s">
        <v>1846</v>
      </c>
      <c r="E28" s="65"/>
    </row>
    <row r="29" spans="1:5" ht="11.45" customHeight="1">
      <c r="A29" s="60">
        <v>26</v>
      </c>
      <c r="B29" s="61" t="s">
        <v>2297</v>
      </c>
      <c r="C29" s="62">
        <v>2</v>
      </c>
      <c r="D29" s="63" t="s">
        <v>2298</v>
      </c>
      <c r="E29" s="65"/>
    </row>
    <row r="30" spans="1:5" ht="11.45" customHeight="1">
      <c r="A30" s="60">
        <v>27</v>
      </c>
      <c r="B30" s="61" t="s">
        <v>2299</v>
      </c>
      <c r="C30" s="62">
        <v>1</v>
      </c>
      <c r="D30" s="63" t="s">
        <v>1322</v>
      </c>
      <c r="E30" s="65"/>
    </row>
    <row r="31" spans="1:5" ht="11.45" customHeight="1">
      <c r="A31" s="60">
        <v>28</v>
      </c>
      <c r="B31" s="61" t="s">
        <v>2300</v>
      </c>
      <c r="C31" s="62">
        <v>1</v>
      </c>
      <c r="D31" s="63" t="s">
        <v>2301</v>
      </c>
      <c r="E31" s="65"/>
    </row>
    <row r="32" spans="1:5" ht="11.45" customHeight="1">
      <c r="A32" s="60">
        <v>29</v>
      </c>
      <c r="B32" s="61" t="s">
        <v>2302</v>
      </c>
      <c r="C32" s="62">
        <v>1</v>
      </c>
      <c r="D32" s="63" t="s">
        <v>2303</v>
      </c>
      <c r="E32" s="65"/>
    </row>
    <row r="33" spans="1:5" ht="11.45" customHeight="1">
      <c r="A33" s="60">
        <v>30</v>
      </c>
      <c r="B33" s="61" t="s">
        <v>2304</v>
      </c>
      <c r="C33" s="62">
        <v>1</v>
      </c>
      <c r="D33" s="63" t="s">
        <v>2305</v>
      </c>
      <c r="E33" s="65"/>
    </row>
    <row r="34" spans="1:5" ht="11.45" customHeight="1">
      <c r="A34" s="60">
        <v>31</v>
      </c>
      <c r="B34" s="61" t="s">
        <v>2306</v>
      </c>
      <c r="C34" s="62">
        <v>1</v>
      </c>
      <c r="D34" s="63" t="s">
        <v>2307</v>
      </c>
      <c r="E34" s="65"/>
    </row>
    <row r="35" spans="1:5" ht="11.45" customHeight="1">
      <c r="A35" s="60">
        <v>32</v>
      </c>
      <c r="B35" s="61" t="s">
        <v>2308</v>
      </c>
      <c r="C35" s="62">
        <v>1</v>
      </c>
      <c r="D35" s="63" t="s">
        <v>2309</v>
      </c>
      <c r="E35" s="65"/>
    </row>
    <row r="36" spans="1:5" ht="11.45" customHeight="1">
      <c r="A36" s="60">
        <v>33</v>
      </c>
      <c r="B36" s="61" t="s">
        <v>2310</v>
      </c>
      <c r="C36" s="62">
        <v>1</v>
      </c>
      <c r="D36" s="63" t="s">
        <v>495</v>
      </c>
      <c r="E36" s="65"/>
    </row>
    <row r="37" spans="1:5" ht="11.45" customHeight="1">
      <c r="A37" s="60">
        <v>34</v>
      </c>
      <c r="B37" s="61" t="s">
        <v>2311</v>
      </c>
      <c r="C37" s="62">
        <v>1</v>
      </c>
      <c r="D37" s="63" t="s">
        <v>2312</v>
      </c>
      <c r="E37" s="65"/>
    </row>
    <row r="38" spans="1:5" ht="11.45" customHeight="1">
      <c r="A38" s="60">
        <v>35</v>
      </c>
      <c r="B38" s="61" t="s">
        <v>2313</v>
      </c>
      <c r="C38" s="62">
        <v>1</v>
      </c>
      <c r="D38" s="63" t="s">
        <v>2314</v>
      </c>
      <c r="E38" s="65"/>
    </row>
    <row r="39" spans="1:5" ht="11.45" customHeight="1">
      <c r="A39" s="60">
        <v>36</v>
      </c>
      <c r="B39" s="61" t="s">
        <v>2315</v>
      </c>
      <c r="C39" s="62">
        <v>1</v>
      </c>
      <c r="D39" s="63" t="s">
        <v>2316</v>
      </c>
      <c r="E39" s="65"/>
    </row>
    <row r="40" spans="1:5" ht="11.45" customHeight="1">
      <c r="A40" s="60">
        <v>37</v>
      </c>
      <c r="B40" s="61" t="s">
        <v>2317</v>
      </c>
      <c r="C40" s="62">
        <v>1</v>
      </c>
      <c r="D40" s="63" t="s">
        <v>504</v>
      </c>
      <c r="E40" s="65"/>
    </row>
    <row r="41" spans="1:5" ht="11.45" customHeight="1">
      <c r="A41" s="60">
        <v>38</v>
      </c>
      <c r="B41" s="61" t="s">
        <v>2318</v>
      </c>
      <c r="C41" s="62">
        <v>0</v>
      </c>
      <c r="D41" s="63" t="s">
        <v>507</v>
      </c>
      <c r="E41" s="65"/>
    </row>
    <row r="42" spans="1:5" ht="11.45" customHeight="1">
      <c r="A42" s="60">
        <v>39</v>
      </c>
      <c r="B42" s="61" t="s">
        <v>2319</v>
      </c>
      <c r="C42" s="62">
        <v>1</v>
      </c>
      <c r="D42" s="63" t="s">
        <v>2320</v>
      </c>
      <c r="E42" s="65"/>
    </row>
    <row r="43" spans="1:5" ht="11.45" customHeight="1">
      <c r="A43" s="60">
        <v>40</v>
      </c>
      <c r="B43" s="61" t="s">
        <v>2321</v>
      </c>
      <c r="C43" s="62">
        <v>1</v>
      </c>
      <c r="D43" s="63" t="s">
        <v>2322</v>
      </c>
      <c r="E43" s="64"/>
    </row>
    <row r="44" spans="1:5" ht="11.45" customHeight="1">
      <c r="A44" s="60">
        <v>41</v>
      </c>
      <c r="B44" s="61" t="s">
        <v>2323</v>
      </c>
      <c r="C44" s="62">
        <v>2</v>
      </c>
      <c r="D44" s="63" t="s">
        <v>2324</v>
      </c>
      <c r="E44" s="65"/>
    </row>
    <row r="45" spans="1:5" ht="11.45" customHeight="1">
      <c r="A45" s="60">
        <v>42</v>
      </c>
      <c r="B45" s="61" t="s">
        <v>2325</v>
      </c>
      <c r="C45" s="62">
        <v>1</v>
      </c>
      <c r="D45" s="63" t="s">
        <v>2326</v>
      </c>
      <c r="E45" s="61" t="s">
        <v>2327</v>
      </c>
    </row>
    <row r="46" spans="1:5" ht="11.45" customHeight="1">
      <c r="A46" s="60">
        <v>43</v>
      </c>
      <c r="B46" s="61" t="s">
        <v>2328</v>
      </c>
      <c r="C46" s="62">
        <v>1</v>
      </c>
      <c r="D46" s="63" t="s">
        <v>2329</v>
      </c>
      <c r="E46" s="61" t="s">
        <v>2330</v>
      </c>
    </row>
    <row r="47" spans="1:5" ht="11.45" customHeight="1">
      <c r="A47" s="60">
        <v>44</v>
      </c>
      <c r="B47" s="61" t="s">
        <v>2331</v>
      </c>
      <c r="C47" s="62">
        <v>0</v>
      </c>
      <c r="D47" s="63" t="s">
        <v>2332</v>
      </c>
      <c r="E47" s="61" t="s">
        <v>2333</v>
      </c>
    </row>
    <row r="48" spans="1:5" ht="11.45" customHeight="1">
      <c r="A48" s="60">
        <v>45</v>
      </c>
      <c r="B48" s="61" t="s">
        <v>2334</v>
      </c>
      <c r="C48" s="62">
        <v>0</v>
      </c>
      <c r="D48" s="63" t="s">
        <v>334</v>
      </c>
      <c r="E48" s="65"/>
    </row>
    <row r="49" spans="1:5" ht="11.45" customHeight="1">
      <c r="A49" s="60">
        <v>46</v>
      </c>
      <c r="B49" s="61" t="s">
        <v>2335</v>
      </c>
      <c r="C49" s="62">
        <v>0</v>
      </c>
      <c r="D49" s="63" t="s">
        <v>338</v>
      </c>
      <c r="E49" s="65"/>
    </row>
    <row r="50" spans="1:5" ht="11.45" customHeight="1">
      <c r="A50" s="60">
        <v>47</v>
      </c>
      <c r="B50" s="61" t="s">
        <v>2336</v>
      </c>
      <c r="C50" s="62">
        <v>0</v>
      </c>
      <c r="D50" s="63" t="s">
        <v>341</v>
      </c>
      <c r="E50" s="65"/>
    </row>
    <row r="51" spans="1:5" ht="11.45" customHeight="1">
      <c r="A51" s="60">
        <v>48</v>
      </c>
      <c r="B51" s="61" t="s">
        <v>2337</v>
      </c>
      <c r="C51" s="62">
        <v>0</v>
      </c>
      <c r="D51" s="63" t="s">
        <v>2338</v>
      </c>
      <c r="E51" s="65"/>
    </row>
    <row r="52" spans="1:5" ht="11.45" customHeight="1">
      <c r="A52" s="60">
        <v>49</v>
      </c>
      <c r="B52" s="61" t="s">
        <v>2339</v>
      </c>
      <c r="C52" s="62">
        <v>0</v>
      </c>
      <c r="D52" s="63" t="s">
        <v>2340</v>
      </c>
      <c r="E52" s="61" t="s">
        <v>2341</v>
      </c>
    </row>
    <row r="53" spans="1:5" ht="11.45" customHeight="1">
      <c r="A53" s="60">
        <v>50</v>
      </c>
      <c r="B53" s="61" t="s">
        <v>2342</v>
      </c>
      <c r="C53" s="62">
        <v>1</v>
      </c>
      <c r="D53" s="63" t="s">
        <v>2343</v>
      </c>
      <c r="E53" s="61" t="s">
        <v>2344</v>
      </c>
    </row>
    <row r="54" spans="1:5" ht="11.45" customHeight="1">
      <c r="A54" s="60">
        <v>51</v>
      </c>
      <c r="B54" s="61" t="s">
        <v>2345</v>
      </c>
      <c r="C54" s="62">
        <v>1</v>
      </c>
      <c r="D54" s="63" t="s">
        <v>2346</v>
      </c>
      <c r="E54" s="61" t="s">
        <v>2347</v>
      </c>
    </row>
    <row r="55" spans="1:5" ht="11.45" customHeight="1">
      <c r="A55" s="60">
        <v>52</v>
      </c>
      <c r="B55" s="61" t="s">
        <v>2348</v>
      </c>
      <c r="C55" s="62">
        <v>1</v>
      </c>
      <c r="D55" s="63" t="s">
        <v>2349</v>
      </c>
      <c r="E55" s="61" t="s">
        <v>2350</v>
      </c>
    </row>
    <row r="56" spans="1:5" ht="11.45" customHeight="1">
      <c r="A56" s="60">
        <v>53</v>
      </c>
      <c r="B56" s="61" t="s">
        <v>2351</v>
      </c>
      <c r="C56" s="62">
        <v>0</v>
      </c>
      <c r="D56" s="63" t="s">
        <v>2352</v>
      </c>
      <c r="E56" s="61" t="s">
        <v>2353</v>
      </c>
    </row>
    <row r="57" spans="1:5" ht="11.45" customHeight="1">
      <c r="A57" s="60">
        <v>54</v>
      </c>
      <c r="B57" s="61" t="s">
        <v>2354</v>
      </c>
      <c r="C57" s="62">
        <v>0</v>
      </c>
      <c r="D57" s="63" t="s">
        <v>2355</v>
      </c>
      <c r="E57" s="61" t="s">
        <v>2356</v>
      </c>
    </row>
    <row r="58" spans="1:5" ht="11.45" customHeight="1">
      <c r="A58" s="60">
        <v>55</v>
      </c>
      <c r="B58" s="61" t="s">
        <v>2357</v>
      </c>
      <c r="C58" s="62">
        <v>2</v>
      </c>
      <c r="D58" s="63" t="s">
        <v>2358</v>
      </c>
      <c r="E58" s="61" t="s">
        <v>2359</v>
      </c>
    </row>
    <row r="59" spans="1:5" ht="11.45" customHeight="1">
      <c r="A59" s="60">
        <v>56</v>
      </c>
      <c r="B59" s="61" t="s">
        <v>2360</v>
      </c>
      <c r="C59" s="62">
        <v>2</v>
      </c>
      <c r="D59" s="63" t="s">
        <v>2361</v>
      </c>
      <c r="E59" s="61" t="s">
        <v>2362</v>
      </c>
    </row>
    <row r="60" spans="1:5" ht="11.45" customHeight="1">
      <c r="A60" s="60">
        <v>57</v>
      </c>
      <c r="B60" s="61" t="s">
        <v>2363</v>
      </c>
      <c r="C60" s="62">
        <v>1</v>
      </c>
      <c r="D60" s="63" t="s">
        <v>2364</v>
      </c>
      <c r="E60" s="61" t="s">
        <v>2365</v>
      </c>
    </row>
    <row r="61" spans="1:5" ht="11.45" customHeight="1">
      <c r="A61" s="60">
        <v>58</v>
      </c>
      <c r="B61" s="61" t="s">
        <v>2366</v>
      </c>
      <c r="C61" s="62">
        <v>2</v>
      </c>
      <c r="D61" s="63" t="s">
        <v>2367</v>
      </c>
      <c r="E61" s="61" t="s">
        <v>2368</v>
      </c>
    </row>
    <row r="62" spans="1:5" ht="11.45" customHeight="1">
      <c r="A62" s="60">
        <v>59</v>
      </c>
      <c r="B62" s="61" t="s">
        <v>2369</v>
      </c>
      <c r="C62" s="62">
        <v>2</v>
      </c>
      <c r="D62" s="63" t="s">
        <v>2370</v>
      </c>
      <c r="E62" s="61" t="s">
        <v>2371</v>
      </c>
    </row>
    <row r="63" spans="1:5" ht="11.45" customHeight="1">
      <c r="A63" s="60">
        <v>60</v>
      </c>
      <c r="B63" s="61" t="s">
        <v>2372</v>
      </c>
      <c r="C63" s="62">
        <v>2</v>
      </c>
      <c r="D63" s="63" t="s">
        <v>2373</v>
      </c>
      <c r="E63" s="61" t="s">
        <v>2374</v>
      </c>
    </row>
    <row r="64" spans="1:5" ht="11.45" customHeight="1">
      <c r="A64" s="60">
        <v>61</v>
      </c>
      <c r="B64" s="61" t="s">
        <v>2375</v>
      </c>
      <c r="C64" s="62">
        <v>2</v>
      </c>
      <c r="D64" s="63" t="s">
        <v>2376</v>
      </c>
      <c r="E64" s="65"/>
    </row>
    <row r="65" spans="1:5" ht="11.45" customHeight="1">
      <c r="A65" s="60">
        <v>62</v>
      </c>
      <c r="B65" s="61" t="s">
        <v>2377</v>
      </c>
      <c r="C65" s="62">
        <v>2</v>
      </c>
      <c r="D65" s="63" t="s">
        <v>2378</v>
      </c>
      <c r="E65" s="65"/>
    </row>
    <row r="66" spans="1:5" ht="11.45" customHeight="1">
      <c r="A66" s="60">
        <v>63</v>
      </c>
      <c r="B66" s="61" t="s">
        <v>2379</v>
      </c>
      <c r="C66" s="62">
        <v>2</v>
      </c>
      <c r="D66" s="63" t="s">
        <v>2380</v>
      </c>
      <c r="E66" s="65"/>
    </row>
    <row r="67" spans="1:5" ht="11.45" customHeight="1">
      <c r="A67" s="60">
        <v>64</v>
      </c>
      <c r="B67" s="61" t="s">
        <v>2381</v>
      </c>
      <c r="C67" s="62">
        <v>1</v>
      </c>
      <c r="D67" s="63" t="s">
        <v>1373</v>
      </c>
      <c r="E67" s="61" t="s">
        <v>2382</v>
      </c>
    </row>
    <row r="68" spans="1:5" ht="11.45" customHeight="1">
      <c r="A68" s="60">
        <v>65</v>
      </c>
      <c r="B68" s="61" t="s">
        <v>2383</v>
      </c>
      <c r="C68" s="62">
        <v>2</v>
      </c>
      <c r="D68" s="63" t="s">
        <v>2384</v>
      </c>
      <c r="E68" s="61" t="s">
        <v>2385</v>
      </c>
    </row>
    <row r="69" spans="1:5" ht="11.45" customHeight="1">
      <c r="A69" s="60">
        <v>66</v>
      </c>
      <c r="B69" s="61" t="s">
        <v>2386</v>
      </c>
      <c r="C69" s="62">
        <v>1</v>
      </c>
      <c r="D69" s="63" t="s">
        <v>1420</v>
      </c>
      <c r="E69" s="61" t="s">
        <v>2387</v>
      </c>
    </row>
    <row r="70" spans="1:5" ht="11.45" customHeight="1">
      <c r="A70" s="60">
        <v>67</v>
      </c>
      <c r="B70" s="61" t="s">
        <v>2388</v>
      </c>
      <c r="C70" s="62">
        <v>0</v>
      </c>
      <c r="D70" s="63" t="s">
        <v>2389</v>
      </c>
      <c r="E70" s="61" t="s">
        <v>2390</v>
      </c>
    </row>
    <row r="71" spans="1:5" ht="11.45" customHeight="1">
      <c r="A71" s="60">
        <v>68</v>
      </c>
      <c r="B71" s="61" t="s">
        <v>2391</v>
      </c>
      <c r="C71" s="62">
        <v>0</v>
      </c>
      <c r="D71" s="63" t="s">
        <v>2392</v>
      </c>
      <c r="E71" s="65"/>
    </row>
    <row r="72" spans="1:5" ht="11.45" customHeight="1">
      <c r="A72" s="60">
        <v>69</v>
      </c>
      <c r="B72" s="61" t="s">
        <v>2393</v>
      </c>
      <c r="C72" s="62">
        <v>0</v>
      </c>
      <c r="D72" s="63" t="s">
        <v>2394</v>
      </c>
      <c r="E72" s="65"/>
    </row>
    <row r="73" spans="1:5" ht="11.45" customHeight="1">
      <c r="A73" s="60">
        <v>70</v>
      </c>
      <c r="B73" s="61" t="s">
        <v>2395</v>
      </c>
      <c r="C73" s="62">
        <v>0</v>
      </c>
      <c r="D73" s="63" t="s">
        <v>2396</v>
      </c>
      <c r="E73" s="65"/>
    </row>
    <row r="74" spans="1:5" ht="11.45" customHeight="1">
      <c r="A74" s="60">
        <v>71</v>
      </c>
      <c r="B74" s="61" t="s">
        <v>2397</v>
      </c>
      <c r="C74" s="62">
        <v>0</v>
      </c>
      <c r="D74" s="63" t="s">
        <v>2398</v>
      </c>
      <c r="E74" s="65"/>
    </row>
    <row r="75" spans="1:5" ht="11.45" customHeight="1">
      <c r="A75" s="60">
        <v>72</v>
      </c>
      <c r="B75" s="61" t="s">
        <v>2399</v>
      </c>
      <c r="C75" s="62">
        <v>0</v>
      </c>
      <c r="D75" s="63" t="s">
        <v>1602</v>
      </c>
      <c r="E75" s="65"/>
    </row>
    <row r="76" spans="1:5" ht="11.45" customHeight="1">
      <c r="A76" s="60">
        <v>73</v>
      </c>
      <c r="B76" s="61" t="s">
        <v>2400</v>
      </c>
      <c r="C76" s="62">
        <v>0</v>
      </c>
      <c r="D76" s="63" t="s">
        <v>1605</v>
      </c>
      <c r="E76" s="65"/>
    </row>
    <row r="77" spans="1:5" ht="11.45" customHeight="1">
      <c r="A77" s="60">
        <v>74</v>
      </c>
      <c r="B77" s="61" t="s">
        <v>2401</v>
      </c>
      <c r="C77" s="62">
        <v>0</v>
      </c>
      <c r="D77" s="63" t="s">
        <v>1608</v>
      </c>
      <c r="E77" s="65"/>
    </row>
    <row r="78" spans="1:5" ht="11.45" customHeight="1">
      <c r="A78" s="60">
        <v>75</v>
      </c>
      <c r="B78" s="61" t="s">
        <v>2402</v>
      </c>
      <c r="C78" s="62">
        <v>0</v>
      </c>
      <c r="D78" s="63" t="s">
        <v>2403</v>
      </c>
      <c r="E78" s="65"/>
    </row>
    <row r="79" spans="1:5" ht="11.45" customHeight="1">
      <c r="A79" s="60">
        <v>76</v>
      </c>
      <c r="B79" s="61" t="s">
        <v>2404</v>
      </c>
      <c r="C79" s="62">
        <v>0</v>
      </c>
      <c r="D79" s="63" t="s">
        <v>1614</v>
      </c>
      <c r="E79" s="65"/>
    </row>
    <row r="80" spans="1:5" ht="11.45" customHeight="1">
      <c r="A80" s="60">
        <v>77</v>
      </c>
      <c r="B80" s="61" t="s">
        <v>2405</v>
      </c>
      <c r="C80" s="62">
        <v>0</v>
      </c>
      <c r="D80" s="63" t="s">
        <v>2406</v>
      </c>
      <c r="E80" s="61" t="s">
        <v>2407</v>
      </c>
    </row>
    <row r="81" spans="1:5" ht="11.45" customHeight="1">
      <c r="A81" s="60">
        <v>78</v>
      </c>
      <c r="B81" s="61" t="s">
        <v>2408</v>
      </c>
      <c r="C81" s="62">
        <v>1</v>
      </c>
      <c r="D81" s="63" t="s">
        <v>2409</v>
      </c>
      <c r="E81" s="65"/>
    </row>
    <row r="82" spans="1:5" ht="11.45" customHeight="1">
      <c r="A82" s="60">
        <v>79</v>
      </c>
      <c r="B82" s="61" t="s">
        <v>2410</v>
      </c>
      <c r="C82" s="62">
        <v>0</v>
      </c>
      <c r="D82" s="63" t="s">
        <v>2411</v>
      </c>
      <c r="E82" s="65"/>
    </row>
    <row r="83" spans="1:5" ht="11.45" customHeight="1">
      <c r="A83" s="60">
        <v>80</v>
      </c>
      <c r="B83" s="61" t="s">
        <v>2412</v>
      </c>
      <c r="C83" s="62">
        <v>0</v>
      </c>
      <c r="D83" s="63" t="s">
        <v>2413</v>
      </c>
      <c r="E83" s="61" t="s">
        <v>2414</v>
      </c>
    </row>
    <row r="84" spans="1:5" ht="11.45" customHeight="1">
      <c r="A84" s="60">
        <v>81</v>
      </c>
      <c r="B84" s="61" t="s">
        <v>2415</v>
      </c>
      <c r="C84" s="62">
        <v>0</v>
      </c>
      <c r="D84" s="63" t="s">
        <v>2416</v>
      </c>
      <c r="E84" s="61" t="s">
        <v>2417</v>
      </c>
    </row>
    <row r="85" spans="1:5" ht="11.45" customHeight="1">
      <c r="A85" s="60">
        <v>82</v>
      </c>
      <c r="B85" s="61" t="s">
        <v>2418</v>
      </c>
      <c r="C85" s="62">
        <v>0</v>
      </c>
      <c r="D85" s="63" t="s">
        <v>2419</v>
      </c>
      <c r="E85" s="61" t="s">
        <v>2420</v>
      </c>
    </row>
    <row r="86" spans="1:5" ht="11.45" customHeight="1">
      <c r="A86" s="60">
        <v>83</v>
      </c>
      <c r="B86" s="61" t="s">
        <v>2421</v>
      </c>
      <c r="C86" s="62">
        <v>1</v>
      </c>
      <c r="D86" s="63" t="s">
        <v>541</v>
      </c>
      <c r="E86" s="65"/>
    </row>
    <row r="87" spans="1:5" ht="11.45" customHeight="1">
      <c r="A87" s="60">
        <v>84</v>
      </c>
      <c r="B87" s="61" t="s">
        <v>2422</v>
      </c>
      <c r="C87" s="62">
        <v>1</v>
      </c>
      <c r="D87" s="63" t="s">
        <v>2423</v>
      </c>
      <c r="E87" s="65"/>
    </row>
    <row r="88" spans="1:5" ht="11.45" customHeight="1">
      <c r="A88" s="60">
        <v>85</v>
      </c>
      <c r="B88" s="61" t="s">
        <v>2424</v>
      </c>
      <c r="C88" s="62">
        <v>1</v>
      </c>
      <c r="D88" s="63" t="s">
        <v>2425</v>
      </c>
      <c r="E88" s="65"/>
    </row>
    <row r="89" spans="1:5" ht="11.45" customHeight="1">
      <c r="A89" s="60">
        <v>86</v>
      </c>
      <c r="B89" s="61" t="s">
        <v>2426</v>
      </c>
      <c r="C89" s="62">
        <v>1</v>
      </c>
      <c r="D89" s="63" t="s">
        <v>550</v>
      </c>
      <c r="E89" s="65"/>
    </row>
    <row r="90" spans="1:5" ht="11.45" customHeight="1">
      <c r="A90" s="60">
        <v>87</v>
      </c>
      <c r="B90" s="61" t="s">
        <v>2427</v>
      </c>
      <c r="C90" s="62">
        <v>1</v>
      </c>
      <c r="D90" s="63" t="s">
        <v>553</v>
      </c>
      <c r="E90" s="65"/>
    </row>
    <row r="91" spans="1:5" ht="11.45" customHeight="1">
      <c r="A91" s="60">
        <v>88</v>
      </c>
      <c r="B91" s="61" t="s">
        <v>2428</v>
      </c>
      <c r="C91" s="62">
        <v>1</v>
      </c>
      <c r="D91" s="63" t="s">
        <v>2429</v>
      </c>
      <c r="E91" s="65"/>
    </row>
    <row r="92" spans="1:5" ht="11.45" customHeight="1">
      <c r="A92" s="60">
        <v>89</v>
      </c>
      <c r="B92" s="61" t="s">
        <v>2430</v>
      </c>
      <c r="C92" s="62">
        <v>0</v>
      </c>
      <c r="D92" s="63" t="s">
        <v>2431</v>
      </c>
      <c r="E92" s="65"/>
    </row>
    <row r="93" spans="1:5" ht="11.45" customHeight="1">
      <c r="A93" s="60">
        <v>90</v>
      </c>
      <c r="B93" s="61" t="s">
        <v>2432</v>
      </c>
      <c r="C93" s="62">
        <v>0</v>
      </c>
      <c r="D93" s="63" t="s">
        <v>1428</v>
      </c>
      <c r="E93" s="64"/>
    </row>
    <row r="94" spans="1:5" ht="11.45" customHeight="1">
      <c r="A94" s="60">
        <v>91</v>
      </c>
      <c r="B94" s="61" t="s">
        <v>2433</v>
      </c>
      <c r="C94" s="62">
        <v>0</v>
      </c>
      <c r="D94" s="63" t="s">
        <v>1431</v>
      </c>
      <c r="E94" s="64"/>
    </row>
    <row r="95" spans="1:5" ht="11.45" customHeight="1">
      <c r="A95" s="60">
        <v>92</v>
      </c>
      <c r="B95" s="61" t="s">
        <v>2434</v>
      </c>
      <c r="C95" s="62">
        <v>0</v>
      </c>
      <c r="D95" s="63" t="s">
        <v>1434</v>
      </c>
      <c r="E95" s="65"/>
    </row>
    <row r="96" spans="1:5" ht="11.45" customHeight="1">
      <c r="A96" s="60">
        <v>93</v>
      </c>
      <c r="B96" s="61" t="s">
        <v>2435</v>
      </c>
      <c r="C96" s="62">
        <v>1</v>
      </c>
      <c r="D96" s="63" t="s">
        <v>2436</v>
      </c>
      <c r="E96" s="65"/>
    </row>
    <row r="97" spans="1:5" ht="11.45" customHeight="1">
      <c r="A97" s="60">
        <v>94</v>
      </c>
      <c r="B97" s="61" t="s">
        <v>2437</v>
      </c>
      <c r="C97" s="62">
        <v>0</v>
      </c>
      <c r="D97" s="63" t="s">
        <v>2438</v>
      </c>
      <c r="E97" s="65"/>
    </row>
    <row r="98" spans="1:5" ht="11.45" customHeight="1">
      <c r="A98" s="60">
        <v>95</v>
      </c>
      <c r="B98" s="61" t="s">
        <v>2439</v>
      </c>
      <c r="C98" s="62">
        <v>1</v>
      </c>
      <c r="D98" s="63" t="s">
        <v>2440</v>
      </c>
      <c r="E98" s="65"/>
    </row>
    <row r="99" spans="1:5" ht="11.45" customHeight="1">
      <c r="A99" s="60">
        <v>96</v>
      </c>
      <c r="B99" s="61" t="s">
        <v>2441</v>
      </c>
      <c r="C99" s="62">
        <v>2</v>
      </c>
      <c r="D99" s="63" t="s">
        <v>1635</v>
      </c>
      <c r="E99" s="65"/>
    </row>
    <row r="100" spans="1:5" ht="11.45" customHeight="1">
      <c r="A100" s="60">
        <v>97</v>
      </c>
      <c r="B100" s="61" t="s">
        <v>2442</v>
      </c>
      <c r="C100" s="62">
        <v>0</v>
      </c>
      <c r="D100" s="63" t="s">
        <v>2443</v>
      </c>
      <c r="E100" s="61" t="s">
        <v>2444</v>
      </c>
    </row>
    <row r="101" spans="1:5" ht="11.45" customHeight="1">
      <c r="A101" s="60">
        <v>98</v>
      </c>
      <c r="B101" s="61" t="s">
        <v>2445</v>
      </c>
      <c r="C101" s="62">
        <v>3</v>
      </c>
      <c r="D101" s="63" t="s">
        <v>2446</v>
      </c>
      <c r="E101" s="61" t="s">
        <v>2447</v>
      </c>
    </row>
    <row r="102" spans="1:5" ht="11.45" customHeight="1">
      <c r="A102" s="60">
        <v>99</v>
      </c>
      <c r="B102" s="61" t="s">
        <v>2448</v>
      </c>
      <c r="C102" s="62">
        <v>0</v>
      </c>
      <c r="D102" s="63" t="s">
        <v>2449</v>
      </c>
      <c r="E102" s="61" t="s">
        <v>2450</v>
      </c>
    </row>
    <row r="103" spans="1:5" ht="11.45" customHeight="1">
      <c r="A103" s="60">
        <v>100</v>
      </c>
      <c r="B103" s="61" t="s">
        <v>2451</v>
      </c>
      <c r="C103" s="62">
        <v>1</v>
      </c>
      <c r="D103" s="63" t="s">
        <v>1647</v>
      </c>
      <c r="E103" s="65"/>
    </row>
    <row r="104" spans="1:5" ht="11.45" customHeight="1">
      <c r="A104" s="60">
        <v>101</v>
      </c>
      <c r="B104" s="61" t="s">
        <v>2452</v>
      </c>
      <c r="C104" s="62">
        <v>0</v>
      </c>
      <c r="D104" s="63" t="s">
        <v>2453</v>
      </c>
      <c r="E104" s="65"/>
    </row>
    <row r="105" spans="1:5" ht="11.45" customHeight="1">
      <c r="A105" s="60">
        <v>102</v>
      </c>
      <c r="B105" s="61" t="s">
        <v>2454</v>
      </c>
      <c r="C105" s="62">
        <v>1</v>
      </c>
      <c r="D105" s="63" t="s">
        <v>2455</v>
      </c>
      <c r="E105" s="61" t="s">
        <v>2456</v>
      </c>
    </row>
    <row r="106" spans="1:5" ht="11.45" customHeight="1">
      <c r="A106" s="60">
        <v>103</v>
      </c>
      <c r="B106" s="61" t="s">
        <v>2457</v>
      </c>
      <c r="C106" s="62">
        <v>1</v>
      </c>
      <c r="D106" s="63" t="s">
        <v>2458</v>
      </c>
      <c r="E106" s="65"/>
    </row>
    <row r="107" spans="1:5" ht="11.45" customHeight="1">
      <c r="A107" s="60">
        <v>104</v>
      </c>
      <c r="B107" s="61" t="s">
        <v>2459</v>
      </c>
      <c r="C107" s="62">
        <v>0</v>
      </c>
      <c r="D107" s="63" t="s">
        <v>2460</v>
      </c>
      <c r="E107" s="65"/>
    </row>
    <row r="108" spans="1:5" ht="11.45" customHeight="1">
      <c r="A108" s="60">
        <v>105</v>
      </c>
      <c r="B108" s="61" t="s">
        <v>2461</v>
      </c>
      <c r="C108" s="62">
        <v>0</v>
      </c>
      <c r="D108" s="63" t="s">
        <v>2462</v>
      </c>
      <c r="E108" s="65"/>
    </row>
    <row r="109" spans="1:5" ht="11.45" customHeight="1">
      <c r="A109" s="60">
        <v>106</v>
      </c>
      <c r="B109" s="61" t="s">
        <v>2463</v>
      </c>
      <c r="C109" s="62">
        <v>0</v>
      </c>
      <c r="D109" s="63" t="s">
        <v>2464</v>
      </c>
      <c r="E109" s="65"/>
    </row>
    <row r="110" spans="1:5" ht="11.45" customHeight="1">
      <c r="A110" s="60">
        <v>107</v>
      </c>
      <c r="B110" s="61" t="s">
        <v>2465</v>
      </c>
      <c r="C110" s="62">
        <v>0</v>
      </c>
      <c r="D110" s="63" t="s">
        <v>2466</v>
      </c>
      <c r="E110" s="65"/>
    </row>
    <row r="111" spans="1:5" ht="11.45" customHeight="1">
      <c r="A111" s="60">
        <v>108</v>
      </c>
      <c r="B111" s="61" t="s">
        <v>2467</v>
      </c>
      <c r="C111" s="62">
        <v>0</v>
      </c>
      <c r="D111" s="63" t="s">
        <v>2468</v>
      </c>
      <c r="E111" s="66"/>
    </row>
    <row r="112" spans="1:5" ht="11.45" customHeight="1">
      <c r="A112" s="60">
        <v>109</v>
      </c>
      <c r="B112" s="61" t="s">
        <v>2469</v>
      </c>
      <c r="C112" s="62">
        <v>0</v>
      </c>
      <c r="D112" s="63" t="s">
        <v>2470</v>
      </c>
      <c r="E112" s="65"/>
    </row>
    <row r="113" spans="1:5" ht="11.45" customHeight="1">
      <c r="A113" s="60">
        <v>110</v>
      </c>
      <c r="B113" s="61" t="s">
        <v>2471</v>
      </c>
      <c r="C113" s="62">
        <v>0</v>
      </c>
      <c r="D113" s="63" t="s">
        <v>2472</v>
      </c>
      <c r="E113" s="65"/>
    </row>
    <row r="114" spans="1:5" ht="11.45" customHeight="1">
      <c r="A114" s="60">
        <v>111</v>
      </c>
      <c r="B114" s="61" t="s">
        <v>2473</v>
      </c>
      <c r="C114" s="62">
        <v>0</v>
      </c>
      <c r="D114" s="63" t="s">
        <v>2474</v>
      </c>
      <c r="E114" s="61" t="s">
        <v>2475</v>
      </c>
    </row>
    <row r="115" spans="1:5" ht="11.45" customHeight="1">
      <c r="A115" s="60">
        <v>112</v>
      </c>
      <c r="B115" s="61" t="s">
        <v>2476</v>
      </c>
      <c r="C115" s="62">
        <v>0</v>
      </c>
      <c r="D115" s="63" t="s">
        <v>2477</v>
      </c>
      <c r="E115" s="64"/>
    </row>
    <row r="116" spans="1:5" ht="11.45" customHeight="1">
      <c r="A116" s="60">
        <v>113</v>
      </c>
      <c r="B116" s="61" t="s">
        <v>2478</v>
      </c>
      <c r="C116" s="62">
        <v>1</v>
      </c>
      <c r="D116" s="63" t="s">
        <v>2479</v>
      </c>
      <c r="E116" s="65"/>
    </row>
    <row r="117" spans="1:5" ht="11.45" customHeight="1">
      <c r="A117" s="60">
        <v>114</v>
      </c>
      <c r="B117" s="61" t="s">
        <v>2480</v>
      </c>
      <c r="C117" s="62">
        <v>0</v>
      </c>
      <c r="D117" s="63" t="s">
        <v>2481</v>
      </c>
      <c r="E117" s="61" t="s">
        <v>2482</v>
      </c>
    </row>
    <row r="118" spans="1:5" ht="11.45" customHeight="1">
      <c r="A118" s="60">
        <v>115</v>
      </c>
      <c r="B118" s="61" t="s">
        <v>2483</v>
      </c>
      <c r="C118" s="62">
        <v>0</v>
      </c>
      <c r="D118" s="63" t="s">
        <v>2484</v>
      </c>
      <c r="E118" s="65"/>
    </row>
    <row r="119" spans="1:5" ht="11.45" customHeight="1">
      <c r="A119" s="60">
        <v>116</v>
      </c>
      <c r="B119" s="61" t="s">
        <v>2485</v>
      </c>
      <c r="C119" s="62">
        <v>1</v>
      </c>
      <c r="D119" s="63" t="s">
        <v>1452</v>
      </c>
      <c r="E119" s="61" t="s">
        <v>2486</v>
      </c>
    </row>
    <row r="120" spans="1:5" ht="11.45" customHeight="1">
      <c r="A120" s="60">
        <v>117</v>
      </c>
      <c r="B120" s="61" t="s">
        <v>2487</v>
      </c>
      <c r="C120" s="62">
        <v>1</v>
      </c>
      <c r="D120" s="63" t="s">
        <v>1455</v>
      </c>
      <c r="E120" s="61" t="s">
        <v>2488</v>
      </c>
    </row>
    <row r="121" spans="1:5" ht="11.45" customHeight="1">
      <c r="A121" s="60">
        <v>118</v>
      </c>
      <c r="B121" s="61" t="s">
        <v>2489</v>
      </c>
      <c r="C121" s="62">
        <v>1</v>
      </c>
      <c r="D121" s="63" t="s">
        <v>1458</v>
      </c>
      <c r="E121" s="61" t="s">
        <v>2490</v>
      </c>
    </row>
    <row r="122" spans="1:5" ht="11.45" customHeight="1">
      <c r="A122" s="60">
        <v>119</v>
      </c>
      <c r="B122" s="61" t="s">
        <v>2491</v>
      </c>
      <c r="C122" s="62">
        <v>1</v>
      </c>
      <c r="D122" s="63" t="s">
        <v>1461</v>
      </c>
      <c r="E122" s="61" t="s">
        <v>2492</v>
      </c>
    </row>
    <row r="123" spans="1:5" ht="11.45" customHeight="1">
      <c r="A123" s="60">
        <v>120</v>
      </c>
      <c r="B123" s="61" t="s">
        <v>2493</v>
      </c>
      <c r="C123" s="62">
        <v>1</v>
      </c>
      <c r="D123" s="63" t="s">
        <v>1464</v>
      </c>
      <c r="E123" s="61" t="s">
        <v>2494</v>
      </c>
    </row>
    <row r="124" spans="1:5" ht="11.45" customHeight="1">
      <c r="A124" s="60">
        <v>121</v>
      </c>
      <c r="B124" s="61" t="s">
        <v>2495</v>
      </c>
      <c r="C124" s="62">
        <v>1</v>
      </c>
      <c r="D124" s="63" t="s">
        <v>2496</v>
      </c>
      <c r="E124" s="61" t="s">
        <v>2497</v>
      </c>
    </row>
    <row r="125" spans="1:5" ht="11.45" customHeight="1">
      <c r="A125" s="60">
        <v>122</v>
      </c>
      <c r="B125" s="61" t="s">
        <v>2498</v>
      </c>
      <c r="C125" s="62">
        <v>1</v>
      </c>
      <c r="D125" s="63" t="s">
        <v>2499</v>
      </c>
      <c r="E125" s="61" t="s">
        <v>2500</v>
      </c>
    </row>
    <row r="126" spans="1:5" ht="11.45" customHeight="1">
      <c r="A126" s="60">
        <v>123</v>
      </c>
      <c r="B126" s="61" t="s">
        <v>2501</v>
      </c>
      <c r="C126" s="62">
        <v>1</v>
      </c>
      <c r="D126" s="63" t="s">
        <v>2502</v>
      </c>
      <c r="E126" s="61" t="s">
        <v>2503</v>
      </c>
    </row>
    <row r="127" spans="1:5" ht="11.45" customHeight="1">
      <c r="A127" s="60">
        <v>124</v>
      </c>
      <c r="B127" s="61" t="s">
        <v>2504</v>
      </c>
      <c r="C127" s="62">
        <v>1</v>
      </c>
      <c r="D127" s="63" t="s">
        <v>1479</v>
      </c>
      <c r="E127" s="61" t="s">
        <v>2505</v>
      </c>
    </row>
    <row r="128" spans="1:5" ht="11.45" customHeight="1">
      <c r="A128" s="60">
        <v>125</v>
      </c>
      <c r="B128" s="61" t="s">
        <v>2506</v>
      </c>
      <c r="C128" s="62">
        <v>1</v>
      </c>
      <c r="D128" s="63" t="s">
        <v>2507</v>
      </c>
      <c r="E128" s="61" t="s">
        <v>2508</v>
      </c>
    </row>
    <row r="129" spans="1:5" ht="11.45" customHeight="1">
      <c r="A129" s="60">
        <v>126</v>
      </c>
      <c r="B129" s="61" t="s">
        <v>2509</v>
      </c>
      <c r="C129" s="62">
        <v>1</v>
      </c>
      <c r="D129" s="63" t="s">
        <v>2510</v>
      </c>
      <c r="E129" s="61" t="s">
        <v>2511</v>
      </c>
    </row>
    <row r="130" spans="1:5" ht="11.45" customHeight="1">
      <c r="A130" s="60">
        <v>127</v>
      </c>
      <c r="B130" s="61" t="s">
        <v>2512</v>
      </c>
      <c r="C130" s="62">
        <v>0</v>
      </c>
      <c r="D130" s="63" t="s">
        <v>2513</v>
      </c>
      <c r="E130" s="65"/>
    </row>
    <row r="131" spans="1:5" ht="11.45" customHeight="1">
      <c r="A131" s="60">
        <v>128</v>
      </c>
      <c r="B131" s="61" t="s">
        <v>2514</v>
      </c>
      <c r="C131" s="62">
        <v>0</v>
      </c>
      <c r="D131" s="63" t="s">
        <v>2515</v>
      </c>
      <c r="E131" s="65"/>
    </row>
    <row r="132" spans="1:5" ht="11.45" customHeight="1">
      <c r="A132" s="60">
        <v>129</v>
      </c>
      <c r="B132" s="61" t="s">
        <v>2516</v>
      </c>
      <c r="C132" s="62">
        <v>0</v>
      </c>
      <c r="D132" s="63" t="s">
        <v>2517</v>
      </c>
      <c r="E132" s="65"/>
    </row>
    <row r="133" spans="1:5" ht="11.45" customHeight="1">
      <c r="A133" s="60">
        <v>130</v>
      </c>
      <c r="B133" s="61" t="s">
        <v>2518</v>
      </c>
      <c r="C133" s="62">
        <v>0</v>
      </c>
      <c r="D133" s="63" t="s">
        <v>1497</v>
      </c>
      <c r="E133" s="65"/>
    </row>
    <row r="134" spans="1:5" ht="11.45" customHeight="1">
      <c r="A134" s="60">
        <v>131</v>
      </c>
      <c r="B134" s="61" t="s">
        <v>2519</v>
      </c>
      <c r="C134" s="62">
        <v>0</v>
      </c>
      <c r="D134" s="63" t="s">
        <v>1500</v>
      </c>
      <c r="E134" s="65"/>
    </row>
    <row r="135" spans="1:5" ht="11.45" customHeight="1">
      <c r="A135" s="60">
        <v>132</v>
      </c>
      <c r="B135" s="61" t="s">
        <v>2520</v>
      </c>
      <c r="C135" s="62">
        <v>0</v>
      </c>
      <c r="D135" s="63" t="s">
        <v>2521</v>
      </c>
      <c r="E135" s="65"/>
    </row>
    <row r="136" spans="1:5" ht="11.45" customHeight="1">
      <c r="A136" s="60">
        <v>133</v>
      </c>
      <c r="B136" s="61" t="s">
        <v>2522</v>
      </c>
      <c r="C136" s="62">
        <v>2</v>
      </c>
      <c r="D136" s="63" t="s">
        <v>353</v>
      </c>
      <c r="E136" s="61" t="s">
        <v>2523</v>
      </c>
    </row>
    <row r="137" spans="1:5" ht="11.45" customHeight="1">
      <c r="A137" s="60">
        <v>134</v>
      </c>
      <c r="B137" s="61" t="s">
        <v>2524</v>
      </c>
      <c r="C137" s="62">
        <v>0</v>
      </c>
      <c r="D137" s="63" t="s">
        <v>2525</v>
      </c>
      <c r="E137" s="65"/>
    </row>
    <row r="138" spans="1:5" ht="11.45" customHeight="1">
      <c r="A138" s="60">
        <v>135</v>
      </c>
      <c r="B138" s="61" t="s">
        <v>2526</v>
      </c>
      <c r="C138" s="62">
        <v>1</v>
      </c>
      <c r="D138" s="63" t="s">
        <v>2527</v>
      </c>
      <c r="E138" s="61" t="s">
        <v>2528</v>
      </c>
    </row>
    <row r="139" spans="1:5" ht="11.45" customHeight="1">
      <c r="A139" s="60">
        <v>136</v>
      </c>
      <c r="B139" s="61" t="s">
        <v>2529</v>
      </c>
      <c r="C139" s="62">
        <v>0</v>
      </c>
      <c r="D139" s="63" t="s">
        <v>2530</v>
      </c>
      <c r="E139" s="65"/>
    </row>
    <row r="140" spans="1:5" ht="11.45" customHeight="1">
      <c r="A140" s="60">
        <v>137</v>
      </c>
      <c r="B140" s="61" t="s">
        <v>2531</v>
      </c>
      <c r="C140" s="62">
        <v>1</v>
      </c>
      <c r="D140" s="63" t="s">
        <v>2532</v>
      </c>
      <c r="E140" s="65"/>
    </row>
    <row r="141" spans="1:5" ht="11.45" customHeight="1">
      <c r="A141" s="60">
        <v>138</v>
      </c>
      <c r="B141" s="61" t="s">
        <v>2533</v>
      </c>
      <c r="C141" s="62">
        <v>0</v>
      </c>
      <c r="D141" s="63" t="s">
        <v>2534</v>
      </c>
      <c r="E141" s="65"/>
    </row>
    <row r="142" spans="1:5" ht="11.45" customHeight="1">
      <c r="A142" s="60">
        <v>139</v>
      </c>
      <c r="B142" s="61" t="s">
        <v>2535</v>
      </c>
      <c r="C142" s="62">
        <v>0</v>
      </c>
      <c r="D142" s="63" t="s">
        <v>2536</v>
      </c>
      <c r="E142" s="65"/>
    </row>
    <row r="143" spans="1:5" ht="11.45" customHeight="1">
      <c r="A143" s="60">
        <v>140</v>
      </c>
      <c r="B143" s="61" t="s">
        <v>2537</v>
      </c>
      <c r="C143" s="62">
        <v>0</v>
      </c>
      <c r="D143" s="63" t="s">
        <v>2538</v>
      </c>
      <c r="E143" s="65"/>
    </row>
    <row r="144" spans="1:5" ht="11.45" customHeight="1">
      <c r="A144" s="60">
        <v>141</v>
      </c>
      <c r="B144" s="61" t="s">
        <v>2539</v>
      </c>
      <c r="C144" s="62">
        <v>0</v>
      </c>
      <c r="D144" s="63" t="s">
        <v>2540</v>
      </c>
      <c r="E144" s="65"/>
    </row>
    <row r="145" spans="1:5" ht="11.45" customHeight="1">
      <c r="A145" s="60">
        <v>142</v>
      </c>
      <c r="B145" s="61" t="s">
        <v>2541</v>
      </c>
      <c r="C145" s="62">
        <v>0</v>
      </c>
      <c r="D145" s="63" t="s">
        <v>385</v>
      </c>
      <c r="E145" s="65"/>
    </row>
    <row r="146" spans="1:5" ht="11.45" customHeight="1">
      <c r="A146" s="60">
        <v>143</v>
      </c>
      <c r="B146" s="61" t="s">
        <v>2542</v>
      </c>
      <c r="C146" s="62">
        <v>0</v>
      </c>
      <c r="D146" s="63" t="s">
        <v>388</v>
      </c>
      <c r="E146" s="65"/>
    </row>
    <row r="147" spans="1:5" ht="11.45" customHeight="1">
      <c r="A147" s="60">
        <v>144</v>
      </c>
      <c r="B147" s="61" t="s">
        <v>2543</v>
      </c>
      <c r="C147" s="62">
        <v>0</v>
      </c>
      <c r="D147" s="63" t="s">
        <v>391</v>
      </c>
      <c r="E147" s="65"/>
    </row>
    <row r="148" spans="1:5" ht="11.45" customHeight="1">
      <c r="A148" s="60">
        <v>145</v>
      </c>
      <c r="B148" s="61" t="s">
        <v>2544</v>
      </c>
      <c r="C148" s="62">
        <v>0</v>
      </c>
      <c r="D148" s="63" t="s">
        <v>2545</v>
      </c>
      <c r="E148" s="65"/>
    </row>
    <row r="149" spans="1:5" ht="11.45" customHeight="1">
      <c r="A149" s="60">
        <v>146</v>
      </c>
      <c r="B149" s="61" t="s">
        <v>2546</v>
      </c>
      <c r="C149" s="62">
        <v>0</v>
      </c>
      <c r="D149" s="63" t="s">
        <v>397</v>
      </c>
      <c r="E149" s="65"/>
    </row>
    <row r="150" spans="1:5" ht="11.45" customHeight="1">
      <c r="A150" s="60">
        <v>147</v>
      </c>
      <c r="B150" s="61" t="s">
        <v>2547</v>
      </c>
      <c r="C150" s="62">
        <v>0</v>
      </c>
      <c r="D150" s="63" t="s">
        <v>400</v>
      </c>
      <c r="E150" s="65"/>
    </row>
    <row r="151" spans="1:5" ht="11.45" customHeight="1">
      <c r="A151" s="60">
        <v>148</v>
      </c>
      <c r="B151" s="61" t="s">
        <v>2548</v>
      </c>
      <c r="C151" s="62">
        <v>0</v>
      </c>
      <c r="D151" s="63" t="s">
        <v>403</v>
      </c>
      <c r="E151" s="65"/>
    </row>
    <row r="152" spans="1:5" ht="11.45" customHeight="1">
      <c r="A152" s="60">
        <v>149</v>
      </c>
      <c r="B152" s="61" t="s">
        <v>2549</v>
      </c>
      <c r="C152" s="62">
        <v>0</v>
      </c>
      <c r="D152" s="63" t="s">
        <v>406</v>
      </c>
      <c r="E152" s="65"/>
    </row>
    <row r="153" spans="1:5" ht="11.45" customHeight="1">
      <c r="A153" s="60">
        <v>150</v>
      </c>
      <c r="B153" s="61" t="s">
        <v>2550</v>
      </c>
      <c r="C153" s="62">
        <v>0</v>
      </c>
      <c r="D153" s="63" t="s">
        <v>409</v>
      </c>
      <c r="E153" s="65"/>
    </row>
    <row r="154" spans="1:5" ht="11.45" customHeight="1">
      <c r="A154" s="60">
        <v>151</v>
      </c>
      <c r="B154" s="61" t="s">
        <v>2551</v>
      </c>
      <c r="C154" s="62">
        <v>2</v>
      </c>
      <c r="D154" s="63" t="s">
        <v>2552</v>
      </c>
      <c r="E154" s="61" t="s">
        <v>2553</v>
      </c>
    </row>
    <row r="155" spans="1:5" ht="11.45" customHeight="1">
      <c r="A155" s="60">
        <v>152</v>
      </c>
      <c r="B155" s="61" t="s">
        <v>2554</v>
      </c>
      <c r="C155" s="62">
        <v>2</v>
      </c>
      <c r="D155" s="63" t="s">
        <v>2555</v>
      </c>
      <c r="E155" s="61" t="s">
        <v>2556</v>
      </c>
    </row>
    <row r="156" spans="1:5" ht="11.45" customHeight="1">
      <c r="A156" s="60">
        <v>153</v>
      </c>
      <c r="B156" s="61" t="s">
        <v>2557</v>
      </c>
      <c r="C156" s="62">
        <v>2</v>
      </c>
      <c r="D156" s="63" t="s">
        <v>2558</v>
      </c>
      <c r="E156" s="61" t="s">
        <v>2559</v>
      </c>
    </row>
    <row r="157" spans="1:5" ht="11.45" customHeight="1">
      <c r="A157" s="60">
        <v>154</v>
      </c>
      <c r="B157" s="61" t="s">
        <v>2560</v>
      </c>
      <c r="C157" s="62">
        <v>1</v>
      </c>
      <c r="D157" s="63" t="s">
        <v>421</v>
      </c>
      <c r="E157" s="61" t="s">
        <v>2561</v>
      </c>
    </row>
    <row r="158" spans="1:5" ht="11.45" customHeight="1">
      <c r="A158" s="60">
        <v>155</v>
      </c>
      <c r="B158" s="61" t="s">
        <v>2562</v>
      </c>
      <c r="C158" s="62">
        <v>1</v>
      </c>
      <c r="D158" s="63" t="s">
        <v>421</v>
      </c>
      <c r="E158" s="61" t="s">
        <v>2563</v>
      </c>
    </row>
    <row r="159" spans="1:5" ht="11.45" customHeight="1">
      <c r="A159" s="60">
        <v>156</v>
      </c>
      <c r="B159" s="61" t="s">
        <v>2564</v>
      </c>
      <c r="C159" s="62">
        <v>2</v>
      </c>
      <c r="D159" s="63" t="s">
        <v>2565</v>
      </c>
      <c r="E159" s="61" t="s">
        <v>2566</v>
      </c>
    </row>
    <row r="160" spans="1:5" ht="11.45" customHeight="1">
      <c r="A160" s="60">
        <v>157</v>
      </c>
      <c r="B160" s="61" t="s">
        <v>2567</v>
      </c>
      <c r="C160" s="62">
        <v>2</v>
      </c>
      <c r="D160" s="63" t="s">
        <v>2568</v>
      </c>
      <c r="E160" s="61" t="s">
        <v>2569</v>
      </c>
    </row>
    <row r="161" spans="1:5" ht="11.45" customHeight="1">
      <c r="A161" s="60">
        <v>158</v>
      </c>
      <c r="B161" s="61" t="s">
        <v>2570</v>
      </c>
      <c r="C161" s="62">
        <v>1</v>
      </c>
      <c r="D161" s="63" t="s">
        <v>2571</v>
      </c>
      <c r="E161" s="61" t="s">
        <v>2572</v>
      </c>
    </row>
    <row r="162" spans="1:5" ht="11.45" customHeight="1">
      <c r="A162" s="60">
        <v>159</v>
      </c>
      <c r="B162" s="61" t="s">
        <v>2573</v>
      </c>
      <c r="C162" s="62">
        <v>0</v>
      </c>
      <c r="D162" s="63" t="s">
        <v>308</v>
      </c>
      <c r="E162" s="61" t="s">
        <v>2574</v>
      </c>
    </row>
    <row r="163" spans="1:5" ht="11.45" customHeight="1">
      <c r="A163" s="60">
        <v>160</v>
      </c>
      <c r="B163" s="61" t="s">
        <v>2575</v>
      </c>
      <c r="C163" s="62">
        <v>0</v>
      </c>
      <c r="D163" s="63" t="s">
        <v>2576</v>
      </c>
      <c r="E163" s="61" t="s">
        <v>2577</v>
      </c>
    </row>
    <row r="164" spans="1:5" ht="11.45" customHeight="1">
      <c r="A164" s="60">
        <v>161</v>
      </c>
      <c r="B164" s="61" t="s">
        <v>2578</v>
      </c>
      <c r="C164" s="62">
        <v>0</v>
      </c>
      <c r="D164" s="63" t="s">
        <v>2579</v>
      </c>
      <c r="E164" s="65"/>
    </row>
    <row r="165" spans="1:5" ht="11.45" customHeight="1">
      <c r="A165" s="60">
        <v>162</v>
      </c>
      <c r="B165" s="61" t="s">
        <v>2580</v>
      </c>
      <c r="C165" s="62">
        <v>0</v>
      </c>
      <c r="D165" s="63" t="s">
        <v>2581</v>
      </c>
      <c r="E165" s="65"/>
    </row>
    <row r="166" spans="1:5" ht="11.45" customHeight="1">
      <c r="A166" s="60">
        <v>163</v>
      </c>
      <c r="B166" s="61" t="s">
        <v>2582</v>
      </c>
      <c r="C166" s="62">
        <v>0</v>
      </c>
      <c r="D166" s="63" t="s">
        <v>1689</v>
      </c>
      <c r="E166" s="65"/>
    </row>
    <row r="167" spans="1:5" ht="11.45" customHeight="1">
      <c r="A167" s="60">
        <v>164</v>
      </c>
      <c r="B167" s="61" t="s">
        <v>2583</v>
      </c>
      <c r="C167" s="62">
        <v>0</v>
      </c>
      <c r="D167" s="63" t="s">
        <v>2584</v>
      </c>
      <c r="E167" s="65"/>
    </row>
    <row r="168" spans="1:5" ht="11.45" customHeight="1">
      <c r="A168" s="60">
        <v>165</v>
      </c>
      <c r="B168" s="61" t="s">
        <v>2585</v>
      </c>
      <c r="C168" s="62">
        <v>0</v>
      </c>
      <c r="D168" s="63" t="s">
        <v>2586</v>
      </c>
      <c r="E168" s="65"/>
    </row>
    <row r="169" spans="1:5" ht="11.45" customHeight="1">
      <c r="A169" s="60">
        <v>166</v>
      </c>
      <c r="B169" s="61" t="s">
        <v>2587</v>
      </c>
      <c r="C169" s="62">
        <v>0</v>
      </c>
      <c r="D169" s="63" t="s">
        <v>2588</v>
      </c>
      <c r="E169" s="65"/>
    </row>
    <row r="170" spans="1:5" ht="11.45" customHeight="1">
      <c r="A170" s="60">
        <v>167</v>
      </c>
      <c r="B170" s="61" t="s">
        <v>2589</v>
      </c>
      <c r="C170" s="62">
        <v>0</v>
      </c>
      <c r="D170" s="63" t="s">
        <v>1701</v>
      </c>
      <c r="E170" s="65"/>
    </row>
    <row r="171" spans="1:5" ht="11.45" customHeight="1">
      <c r="A171" s="60">
        <v>168</v>
      </c>
      <c r="B171" s="61" t="s">
        <v>2590</v>
      </c>
      <c r="C171" s="62">
        <v>0</v>
      </c>
      <c r="D171" s="63" t="s">
        <v>1704</v>
      </c>
      <c r="E171" s="65"/>
    </row>
    <row r="172" spans="1:5" ht="11.45" customHeight="1">
      <c r="A172" s="60">
        <v>169</v>
      </c>
      <c r="B172" s="61" t="s">
        <v>2591</v>
      </c>
      <c r="C172" s="62">
        <v>0</v>
      </c>
      <c r="D172" s="63" t="s">
        <v>1707</v>
      </c>
      <c r="E172" s="65"/>
    </row>
    <row r="173" spans="1:5" ht="11.45" customHeight="1">
      <c r="A173" s="60">
        <v>170</v>
      </c>
      <c r="B173" s="61" t="s">
        <v>2592</v>
      </c>
      <c r="C173" s="62">
        <v>0</v>
      </c>
      <c r="D173" s="63" t="s">
        <v>1710</v>
      </c>
      <c r="E173" s="65"/>
    </row>
    <row r="174" spans="1:5" ht="11.45" customHeight="1">
      <c r="A174" s="60">
        <v>171</v>
      </c>
      <c r="B174" s="61" t="s">
        <v>2593</v>
      </c>
      <c r="C174" s="62">
        <v>0</v>
      </c>
      <c r="D174" s="63" t="s">
        <v>1713</v>
      </c>
      <c r="E174" s="65"/>
    </row>
    <row r="175" spans="1:5" ht="11.45" customHeight="1">
      <c r="A175" s="60">
        <v>172</v>
      </c>
      <c r="B175" s="61" t="s">
        <v>2594</v>
      </c>
      <c r="C175" s="62">
        <v>0</v>
      </c>
      <c r="D175" s="63" t="s">
        <v>1716</v>
      </c>
      <c r="E175" s="65"/>
    </row>
    <row r="176" spans="1:5" ht="11.45" customHeight="1">
      <c r="A176" s="60">
        <v>173</v>
      </c>
      <c r="B176" s="61" t="s">
        <v>2595</v>
      </c>
      <c r="C176" s="62">
        <v>0</v>
      </c>
      <c r="D176" s="63" t="s">
        <v>2596</v>
      </c>
      <c r="E176" s="65"/>
    </row>
    <row r="177" spans="1:5" ht="11.45" customHeight="1">
      <c r="A177" s="60">
        <v>174</v>
      </c>
      <c r="B177" s="61" t="s">
        <v>2597</v>
      </c>
      <c r="C177" s="62">
        <v>0</v>
      </c>
      <c r="D177" s="63" t="s">
        <v>2598</v>
      </c>
      <c r="E177" s="65"/>
    </row>
    <row r="178" spans="1:5" ht="11.45" customHeight="1">
      <c r="A178" s="60">
        <v>175</v>
      </c>
      <c r="B178" s="61" t="s">
        <v>2599</v>
      </c>
      <c r="C178" s="62">
        <v>0</v>
      </c>
      <c r="D178" s="63" t="s">
        <v>2600</v>
      </c>
      <c r="E178" s="65"/>
    </row>
    <row r="179" spans="1:5" ht="11.45" customHeight="1">
      <c r="A179" s="60">
        <v>176</v>
      </c>
      <c r="B179" s="61" t="s">
        <v>2601</v>
      </c>
      <c r="C179" s="62">
        <v>0</v>
      </c>
      <c r="D179" s="63" t="s">
        <v>2602</v>
      </c>
      <c r="E179" s="65"/>
    </row>
    <row r="180" spans="1:5" ht="11.45" customHeight="1">
      <c r="A180" s="60">
        <v>177</v>
      </c>
      <c r="B180" s="61" t="s">
        <v>2603</v>
      </c>
      <c r="C180" s="62">
        <v>0</v>
      </c>
      <c r="D180" s="63" t="s">
        <v>2604</v>
      </c>
      <c r="E180" s="65"/>
    </row>
    <row r="181" spans="1:5" ht="11.45" customHeight="1">
      <c r="A181" s="60">
        <v>178</v>
      </c>
      <c r="B181" s="61" t="s">
        <v>2605</v>
      </c>
      <c r="C181" s="62">
        <v>0</v>
      </c>
      <c r="D181" s="63" t="s">
        <v>2606</v>
      </c>
      <c r="E181" s="65"/>
    </row>
    <row r="182" spans="1:5" ht="11.45" customHeight="1">
      <c r="A182" s="60">
        <v>179</v>
      </c>
      <c r="B182" s="61" t="s">
        <v>2607</v>
      </c>
      <c r="C182" s="62">
        <v>0</v>
      </c>
      <c r="D182" s="63" t="s">
        <v>2608</v>
      </c>
      <c r="E182" s="65"/>
    </row>
    <row r="183" spans="1:5" ht="11.45" customHeight="1">
      <c r="A183" s="60">
        <v>180</v>
      </c>
      <c r="B183" s="61" t="s">
        <v>2609</v>
      </c>
      <c r="C183" s="62">
        <v>0</v>
      </c>
      <c r="D183" s="63" t="s">
        <v>2610</v>
      </c>
      <c r="E183" s="65"/>
    </row>
    <row r="184" spans="1:5" ht="11.45" customHeight="1">
      <c r="A184" s="60">
        <v>181</v>
      </c>
      <c r="B184" s="61" t="s">
        <v>2611</v>
      </c>
      <c r="C184" s="62">
        <v>0</v>
      </c>
      <c r="D184" s="63" t="s">
        <v>2612</v>
      </c>
      <c r="E184" s="65"/>
    </row>
    <row r="185" spans="1:5" ht="11.45" customHeight="1">
      <c r="A185" s="60">
        <v>182</v>
      </c>
      <c r="B185" s="61" t="s">
        <v>2613</v>
      </c>
      <c r="C185" s="62">
        <v>0</v>
      </c>
      <c r="D185" s="63" t="s">
        <v>2614</v>
      </c>
      <c r="E185" s="65"/>
    </row>
    <row r="186" spans="1:5" ht="11.45" customHeight="1">
      <c r="A186" s="60">
        <v>183</v>
      </c>
      <c r="B186" s="61" t="s">
        <v>2615</v>
      </c>
      <c r="C186" s="62">
        <v>0</v>
      </c>
      <c r="D186" s="63" t="s">
        <v>2616</v>
      </c>
      <c r="E186" s="65"/>
    </row>
    <row r="187" spans="1:5" ht="11.45" customHeight="1">
      <c r="A187" s="60">
        <v>184</v>
      </c>
      <c r="B187" s="61" t="s">
        <v>2617</v>
      </c>
      <c r="C187" s="62">
        <v>0</v>
      </c>
      <c r="D187" s="63" t="s">
        <v>2618</v>
      </c>
      <c r="E187" s="65"/>
    </row>
    <row r="188" spans="1:5" ht="11.45" customHeight="1">
      <c r="A188" s="60">
        <v>185</v>
      </c>
      <c r="B188" s="61" t="s">
        <v>2619</v>
      </c>
      <c r="C188" s="62">
        <v>1</v>
      </c>
      <c r="D188" s="63" t="s">
        <v>2620</v>
      </c>
      <c r="E188" s="65"/>
    </row>
    <row r="189" spans="1:5" ht="11.45" customHeight="1">
      <c r="A189" s="60">
        <v>186</v>
      </c>
      <c r="B189" s="61" t="s">
        <v>2621</v>
      </c>
      <c r="C189" s="62">
        <v>0</v>
      </c>
      <c r="D189" s="63" t="s">
        <v>2622</v>
      </c>
      <c r="E189" s="65"/>
    </row>
    <row r="190" spans="1:5" ht="11.45" customHeight="1">
      <c r="A190" s="60">
        <v>187</v>
      </c>
      <c r="B190" s="61" t="s">
        <v>2623</v>
      </c>
      <c r="C190" s="62">
        <v>1</v>
      </c>
      <c r="D190" s="63" t="s">
        <v>2624</v>
      </c>
      <c r="E190" s="64"/>
    </row>
    <row r="191" spans="1:5" ht="11.45" customHeight="1">
      <c r="A191" s="60">
        <v>188</v>
      </c>
      <c r="B191" s="61" t="s">
        <v>2625</v>
      </c>
      <c r="C191" s="62">
        <v>1</v>
      </c>
      <c r="D191" s="63" t="s">
        <v>2626</v>
      </c>
      <c r="E191" s="61" t="s">
        <v>2627</v>
      </c>
    </row>
    <row r="192" spans="1:5" ht="11.45" customHeight="1">
      <c r="A192" s="60">
        <v>189</v>
      </c>
      <c r="B192" s="61" t="s">
        <v>2628</v>
      </c>
      <c r="C192" s="62">
        <v>0</v>
      </c>
      <c r="D192" s="63" t="s">
        <v>1777</v>
      </c>
      <c r="E192" s="61" t="s">
        <v>2629</v>
      </c>
    </row>
    <row r="193" spans="1:5" ht="11.45" customHeight="1">
      <c r="A193" s="60">
        <v>190</v>
      </c>
      <c r="B193" s="61" t="s">
        <v>2630</v>
      </c>
      <c r="C193" s="62">
        <v>0</v>
      </c>
      <c r="D193" s="63" t="s">
        <v>1780</v>
      </c>
      <c r="E193" s="61" t="s">
        <v>2631</v>
      </c>
    </row>
    <row r="194" spans="1:5" ht="11.45" customHeight="1">
      <c r="A194" s="60">
        <v>191</v>
      </c>
      <c r="B194" s="61" t="s">
        <v>2632</v>
      </c>
      <c r="C194" s="62">
        <v>2</v>
      </c>
      <c r="D194" s="63" t="s">
        <v>2633</v>
      </c>
      <c r="E194" s="65"/>
    </row>
    <row r="195" spans="1:5" ht="11.45" customHeight="1">
      <c r="A195" s="60">
        <v>192</v>
      </c>
      <c r="B195" s="61" t="s">
        <v>2634</v>
      </c>
      <c r="C195" s="62">
        <v>1</v>
      </c>
      <c r="D195" s="63" t="s">
        <v>1786</v>
      </c>
      <c r="E195" s="61" t="s">
        <v>2635</v>
      </c>
    </row>
    <row r="196" spans="1:5" ht="11.45" customHeight="1">
      <c r="A196" s="60">
        <v>193</v>
      </c>
      <c r="B196" s="61" t="s">
        <v>2636</v>
      </c>
      <c r="C196" s="62">
        <v>0</v>
      </c>
      <c r="D196" s="63" t="s">
        <v>442</v>
      </c>
      <c r="E196" s="61" t="s">
        <v>2637</v>
      </c>
    </row>
    <row r="197" spans="1:5" ht="11.45" customHeight="1">
      <c r="A197" s="60">
        <v>194</v>
      </c>
      <c r="B197" s="61" t="s">
        <v>2638</v>
      </c>
      <c r="C197" s="62">
        <v>0</v>
      </c>
      <c r="D197" s="63" t="s">
        <v>593</v>
      </c>
      <c r="E197" s="61" t="s">
        <v>2639</v>
      </c>
    </row>
    <row r="198" spans="1:5" ht="11.45" customHeight="1">
      <c r="A198" s="60">
        <v>195</v>
      </c>
      <c r="B198" s="61" t="s">
        <v>2640</v>
      </c>
      <c r="C198" s="62">
        <v>0</v>
      </c>
      <c r="D198" s="63" t="s">
        <v>1506</v>
      </c>
      <c r="E198" s="61" t="s">
        <v>2641</v>
      </c>
    </row>
    <row r="199" spans="1:5" ht="11.45" customHeight="1">
      <c r="A199" s="60">
        <v>196</v>
      </c>
      <c r="B199" s="61" t="s">
        <v>2642</v>
      </c>
      <c r="C199" s="62">
        <v>0</v>
      </c>
      <c r="D199" s="63" t="s">
        <v>2643</v>
      </c>
      <c r="E199" s="61" t="s">
        <v>2644</v>
      </c>
    </row>
    <row r="200" spans="1:5" ht="11.45" customHeight="1">
      <c r="A200" s="60">
        <v>197</v>
      </c>
      <c r="B200" s="61" t="s">
        <v>2645</v>
      </c>
      <c r="C200" s="62">
        <v>0</v>
      </c>
      <c r="D200" s="63" t="s">
        <v>1861</v>
      </c>
      <c r="E200" s="61" t="s">
        <v>2646</v>
      </c>
    </row>
    <row r="201" spans="1:5" ht="11.45" customHeight="1">
      <c r="A201" s="60">
        <v>198</v>
      </c>
      <c r="B201" s="61" t="s">
        <v>2647</v>
      </c>
      <c r="C201" s="62">
        <v>1</v>
      </c>
      <c r="D201" s="63" t="s">
        <v>1934</v>
      </c>
      <c r="E201" s="61" t="s">
        <v>2648</v>
      </c>
    </row>
    <row r="202" spans="1:5" ht="11.45" customHeight="1">
      <c r="A202" s="60">
        <v>199</v>
      </c>
      <c r="B202" s="61" t="s">
        <v>2649</v>
      </c>
      <c r="C202" s="62">
        <v>1</v>
      </c>
      <c r="D202" s="63" t="s">
        <v>445</v>
      </c>
      <c r="E202" s="65"/>
    </row>
    <row r="203" spans="1:5" ht="11.45" customHeight="1">
      <c r="A203" s="60">
        <v>200</v>
      </c>
      <c r="B203" s="61" t="s">
        <v>2650</v>
      </c>
      <c r="C203" s="62">
        <v>0</v>
      </c>
      <c r="D203" s="63" t="s">
        <v>596</v>
      </c>
      <c r="E203" s="65"/>
    </row>
    <row r="204" spans="1:5" ht="11.45" customHeight="1">
      <c r="A204" s="60">
        <v>201</v>
      </c>
      <c r="B204" s="61" t="s">
        <v>2651</v>
      </c>
      <c r="C204" s="62">
        <v>0</v>
      </c>
      <c r="D204" s="63" t="s">
        <v>1509</v>
      </c>
      <c r="E204" s="64"/>
    </row>
    <row r="205" spans="1:5" ht="11.45" customHeight="1">
      <c r="A205" s="60">
        <v>202</v>
      </c>
      <c r="B205" s="61" t="s">
        <v>2652</v>
      </c>
      <c r="C205" s="62">
        <v>0</v>
      </c>
      <c r="D205" s="63" t="s">
        <v>2653</v>
      </c>
      <c r="E205" s="61" t="s">
        <v>2654</v>
      </c>
    </row>
    <row r="206" spans="1:5" ht="11.45" customHeight="1">
      <c r="A206" s="60">
        <v>203</v>
      </c>
      <c r="B206" s="61" t="s">
        <v>2655</v>
      </c>
      <c r="C206" s="62">
        <v>0</v>
      </c>
      <c r="D206" s="63" t="s">
        <v>2656</v>
      </c>
      <c r="E206" s="61" t="s">
        <v>2657</v>
      </c>
    </row>
    <row r="207" spans="1:5" ht="11.45" customHeight="1">
      <c r="A207" s="60">
        <v>204</v>
      </c>
      <c r="B207" s="61" t="s">
        <v>2658</v>
      </c>
      <c r="C207" s="62">
        <v>0</v>
      </c>
      <c r="D207" s="63" t="s">
        <v>2659</v>
      </c>
      <c r="E207" s="61" t="s">
        <v>2660</v>
      </c>
    </row>
    <row r="208" spans="1:5" ht="11.45" customHeight="1">
      <c r="A208" s="60">
        <v>205</v>
      </c>
      <c r="B208" s="61" t="s">
        <v>2661</v>
      </c>
      <c r="C208" s="62">
        <v>0</v>
      </c>
      <c r="D208" s="63" t="s">
        <v>448</v>
      </c>
      <c r="E208" s="61" t="s">
        <v>2662</v>
      </c>
    </row>
    <row r="209" spans="1:5" ht="11.45" customHeight="1">
      <c r="A209" s="60">
        <v>206</v>
      </c>
      <c r="B209" s="61" t="s">
        <v>2663</v>
      </c>
      <c r="C209" s="62">
        <v>1</v>
      </c>
      <c r="D209" s="63" t="s">
        <v>451</v>
      </c>
      <c r="E209" s="61" t="s">
        <v>2664</v>
      </c>
    </row>
    <row r="210" spans="1:5" ht="11.45" customHeight="1">
      <c r="A210" s="60">
        <v>207</v>
      </c>
      <c r="B210" s="61" t="s">
        <v>2665</v>
      </c>
      <c r="C210" s="62">
        <v>0</v>
      </c>
      <c r="D210" s="63" t="s">
        <v>2666</v>
      </c>
      <c r="E210" s="65"/>
    </row>
    <row r="211" spans="1:5" ht="11.45" customHeight="1">
      <c r="A211" s="60">
        <v>208</v>
      </c>
      <c r="B211" s="61" t="s">
        <v>2667</v>
      </c>
      <c r="C211" s="62">
        <v>0</v>
      </c>
      <c r="D211" s="63" t="s">
        <v>2668</v>
      </c>
      <c r="E211" s="65"/>
    </row>
    <row r="212" spans="1:5" ht="11.45" customHeight="1">
      <c r="A212" s="60">
        <v>209</v>
      </c>
      <c r="B212" s="61" t="s">
        <v>2669</v>
      </c>
      <c r="C212" s="62">
        <v>0</v>
      </c>
      <c r="D212" s="63" t="s">
        <v>2670</v>
      </c>
      <c r="E212" s="65"/>
    </row>
    <row r="213" spans="1:5" ht="11.45" customHeight="1">
      <c r="A213" s="60">
        <v>210</v>
      </c>
      <c r="B213" s="61" t="s">
        <v>2671</v>
      </c>
      <c r="C213" s="62">
        <v>0</v>
      </c>
      <c r="D213" s="63" t="s">
        <v>1512</v>
      </c>
      <c r="E213" s="61" t="s">
        <v>2672</v>
      </c>
    </row>
    <row r="214" spans="1:5" ht="11.45" customHeight="1">
      <c r="A214" s="60">
        <v>211</v>
      </c>
      <c r="B214" s="61" t="s">
        <v>2673</v>
      </c>
      <c r="C214" s="62">
        <v>0</v>
      </c>
      <c r="D214" s="63" t="s">
        <v>1515</v>
      </c>
      <c r="E214" s="61" t="s">
        <v>2674</v>
      </c>
    </row>
    <row r="215" spans="1:5" ht="11.45" customHeight="1">
      <c r="A215" s="60">
        <v>212</v>
      </c>
      <c r="B215" s="61" t="s">
        <v>2675</v>
      </c>
      <c r="C215" s="62">
        <v>0</v>
      </c>
      <c r="D215" s="63" t="s">
        <v>1518</v>
      </c>
      <c r="E215" s="61" t="s">
        <v>2676</v>
      </c>
    </row>
    <row r="216" spans="1:5" ht="11.45" customHeight="1">
      <c r="A216" s="60">
        <v>213</v>
      </c>
      <c r="B216" s="61" t="s">
        <v>2677</v>
      </c>
      <c r="C216" s="62">
        <v>1</v>
      </c>
      <c r="D216" s="63" t="s">
        <v>1521</v>
      </c>
      <c r="E216" s="61" t="s">
        <v>2678</v>
      </c>
    </row>
    <row r="217" spans="1:5" ht="11.45" customHeight="1">
      <c r="A217" s="60">
        <v>214</v>
      </c>
      <c r="B217" s="61" t="s">
        <v>2679</v>
      </c>
      <c r="C217" s="62">
        <v>1</v>
      </c>
      <c r="D217" s="63" t="s">
        <v>1524</v>
      </c>
      <c r="E217" s="61" t="s">
        <v>2680</v>
      </c>
    </row>
    <row r="218" spans="1:5" ht="11.45" customHeight="1">
      <c r="A218" s="60">
        <v>215</v>
      </c>
      <c r="B218" s="61" t="s">
        <v>2681</v>
      </c>
      <c r="C218" s="62">
        <v>1</v>
      </c>
      <c r="D218" s="63" t="s">
        <v>1527</v>
      </c>
      <c r="E218" s="61" t="s">
        <v>2682</v>
      </c>
    </row>
    <row r="219" spans="1:5" ht="11.45" customHeight="1">
      <c r="A219" s="60">
        <v>216</v>
      </c>
      <c r="B219" s="61" t="s">
        <v>2683</v>
      </c>
      <c r="C219" s="62">
        <v>1</v>
      </c>
      <c r="D219" s="63" t="s">
        <v>1725</v>
      </c>
      <c r="E219" s="61" t="s">
        <v>2684</v>
      </c>
    </row>
    <row r="220" spans="1:5" ht="11.45" customHeight="1">
      <c r="A220" s="60">
        <v>217</v>
      </c>
      <c r="B220" s="61" t="s">
        <v>2685</v>
      </c>
      <c r="C220" s="62">
        <v>0</v>
      </c>
      <c r="D220" s="63" t="s">
        <v>1728</v>
      </c>
      <c r="E220" s="61" t="s">
        <v>2686</v>
      </c>
    </row>
    <row r="221" spans="1:5" ht="11.45" customHeight="1">
      <c r="A221" s="60">
        <v>218</v>
      </c>
      <c r="B221" s="61" t="s">
        <v>2687</v>
      </c>
      <c r="C221" s="62">
        <v>0</v>
      </c>
      <c r="D221" s="63" t="s">
        <v>1867</v>
      </c>
      <c r="E221" s="61" t="s">
        <v>2688</v>
      </c>
    </row>
    <row r="222" spans="1:5" ht="11.45" customHeight="1">
      <c r="A222" s="60">
        <v>219</v>
      </c>
      <c r="B222" s="61" t="s">
        <v>2689</v>
      </c>
      <c r="C222" s="62">
        <v>1</v>
      </c>
      <c r="D222" s="63" t="s">
        <v>1870</v>
      </c>
      <c r="E222" s="61" t="s">
        <v>2690</v>
      </c>
    </row>
    <row r="223" spans="1:5" ht="11.45" customHeight="1">
      <c r="A223" s="60">
        <v>220</v>
      </c>
      <c r="B223" s="61" t="s">
        <v>2691</v>
      </c>
      <c r="C223" s="62">
        <v>1</v>
      </c>
      <c r="D223" s="63" t="s">
        <v>1873</v>
      </c>
      <c r="E223" s="61" t="s">
        <v>2692</v>
      </c>
    </row>
    <row r="224" spans="1:5" ht="11.45" customHeight="1">
      <c r="A224" s="60">
        <v>221</v>
      </c>
      <c r="B224" s="61" t="s">
        <v>2693</v>
      </c>
      <c r="C224" s="62">
        <v>0</v>
      </c>
      <c r="D224" s="63" t="s">
        <v>1876</v>
      </c>
      <c r="E224" s="65"/>
    </row>
    <row r="225" spans="1:5" ht="11.45" customHeight="1">
      <c r="A225" s="60">
        <v>222</v>
      </c>
      <c r="B225" s="61" t="s">
        <v>2694</v>
      </c>
      <c r="C225" s="62">
        <v>0</v>
      </c>
      <c r="D225" s="63" t="s">
        <v>1879</v>
      </c>
      <c r="E225" s="61" t="s">
        <v>2695</v>
      </c>
    </row>
    <row r="226" spans="1:5" ht="11.45" customHeight="1">
      <c r="A226" s="60">
        <v>223</v>
      </c>
      <c r="B226" s="61" t="s">
        <v>2696</v>
      </c>
      <c r="C226" s="62">
        <v>1</v>
      </c>
      <c r="D226" s="63" t="s">
        <v>1882</v>
      </c>
      <c r="E226" s="64"/>
    </row>
    <row r="227" spans="1:5" ht="11.45" customHeight="1">
      <c r="A227" s="60">
        <v>224</v>
      </c>
      <c r="B227" s="61" t="s">
        <v>2697</v>
      </c>
      <c r="C227" s="62">
        <v>0</v>
      </c>
      <c r="D227" s="63" t="s">
        <v>1885</v>
      </c>
      <c r="E227" s="61" t="s">
        <v>2698</v>
      </c>
    </row>
    <row r="228" spans="1:5" ht="11.45" customHeight="1">
      <c r="A228" s="60">
        <v>225</v>
      </c>
      <c r="B228" s="61" t="s">
        <v>2699</v>
      </c>
      <c r="C228" s="62">
        <v>1</v>
      </c>
      <c r="D228" s="63" t="s">
        <v>454</v>
      </c>
      <c r="E228" s="61" t="s">
        <v>2700</v>
      </c>
    </row>
    <row r="229" spans="1:5" ht="11.45" customHeight="1">
      <c r="A229" s="60">
        <v>226</v>
      </c>
      <c r="B229" s="61" t="s">
        <v>2701</v>
      </c>
      <c r="C229" s="62">
        <v>1</v>
      </c>
      <c r="D229" s="63" t="s">
        <v>457</v>
      </c>
      <c r="E229" s="61" t="s">
        <v>2702</v>
      </c>
    </row>
    <row r="230" spans="1:5" ht="11.45" customHeight="1">
      <c r="A230" s="60">
        <v>227</v>
      </c>
      <c r="B230" s="61" t="s">
        <v>2703</v>
      </c>
      <c r="C230" s="62">
        <v>1</v>
      </c>
      <c r="D230" s="63" t="s">
        <v>460</v>
      </c>
      <c r="E230" s="61" t="s">
        <v>2704</v>
      </c>
    </row>
    <row r="231" spans="1:5" ht="11.45" customHeight="1">
      <c r="A231" s="60">
        <v>228</v>
      </c>
      <c r="B231" s="61" t="s">
        <v>2705</v>
      </c>
      <c r="C231" s="62">
        <v>1</v>
      </c>
      <c r="D231" s="63" t="s">
        <v>463</v>
      </c>
      <c r="E231" s="61" t="s">
        <v>2706</v>
      </c>
    </row>
    <row r="232" spans="1:5" ht="11.45" customHeight="1">
      <c r="A232" s="60">
        <v>229</v>
      </c>
      <c r="B232" s="61" t="s">
        <v>2707</v>
      </c>
      <c r="C232" s="62">
        <v>1</v>
      </c>
      <c r="D232" s="63" t="s">
        <v>466</v>
      </c>
      <c r="E232" s="61" t="s">
        <v>2708</v>
      </c>
    </row>
    <row r="233" spans="1:5" ht="11.45" customHeight="1">
      <c r="A233" s="60">
        <v>230</v>
      </c>
      <c r="B233" s="61" t="s">
        <v>2709</v>
      </c>
      <c r="C233" s="62">
        <v>0</v>
      </c>
      <c r="D233" s="63" t="s">
        <v>2003</v>
      </c>
      <c r="E233" s="61" t="s">
        <v>2710</v>
      </c>
    </row>
    <row r="234" spans="1:5" ht="11.45" customHeight="1">
      <c r="A234" s="60">
        <v>231</v>
      </c>
      <c r="B234" s="61" t="s">
        <v>2711</v>
      </c>
      <c r="C234" s="62">
        <v>1</v>
      </c>
      <c r="D234" s="63" t="s">
        <v>2712</v>
      </c>
      <c r="E234" s="61" t="s">
        <v>2713</v>
      </c>
    </row>
    <row r="235" spans="1:5" ht="11.45" customHeight="1">
      <c r="A235" s="60">
        <v>232</v>
      </c>
      <c r="B235" s="61" t="s">
        <v>2714</v>
      </c>
      <c r="C235" s="62">
        <v>0</v>
      </c>
      <c r="D235" s="63" t="s">
        <v>472</v>
      </c>
      <c r="E235" s="65"/>
    </row>
    <row r="236" spans="1:5" ht="11.45" customHeight="1">
      <c r="A236" s="60">
        <v>233</v>
      </c>
      <c r="B236" s="61" t="s">
        <v>2715</v>
      </c>
      <c r="C236" s="62">
        <v>2</v>
      </c>
      <c r="D236" s="63" t="s">
        <v>1530</v>
      </c>
      <c r="E236" s="61" t="s">
        <v>2716</v>
      </c>
    </row>
    <row r="237" spans="1:5" ht="11.45" customHeight="1">
      <c r="A237" s="60">
        <v>234</v>
      </c>
      <c r="B237" s="61" t="s">
        <v>2717</v>
      </c>
      <c r="C237" s="62">
        <v>1</v>
      </c>
      <c r="D237" s="63" t="s">
        <v>1533</v>
      </c>
      <c r="E237" s="61" t="s">
        <v>2718</v>
      </c>
    </row>
    <row r="238" spans="1:5" ht="11.45" customHeight="1">
      <c r="A238" s="60">
        <v>235</v>
      </c>
      <c r="B238" s="61" t="s">
        <v>2719</v>
      </c>
      <c r="C238" s="62">
        <v>0</v>
      </c>
      <c r="D238" s="63" t="s">
        <v>2720</v>
      </c>
      <c r="E238" s="61" t="s">
        <v>2721</v>
      </c>
    </row>
    <row r="239" spans="1:5" ht="11.45" customHeight="1">
      <c r="A239" s="60">
        <v>236</v>
      </c>
      <c r="B239" s="61" t="s">
        <v>2722</v>
      </c>
      <c r="C239" s="62">
        <v>1</v>
      </c>
      <c r="D239" s="63" t="s">
        <v>1540</v>
      </c>
      <c r="E239" s="61" t="s">
        <v>2723</v>
      </c>
    </row>
    <row r="240" spans="1:5" ht="11.45" customHeight="1">
      <c r="A240" s="60">
        <v>237</v>
      </c>
      <c r="B240" s="61" t="s">
        <v>2724</v>
      </c>
      <c r="C240" s="62">
        <v>1</v>
      </c>
      <c r="D240" s="63" t="s">
        <v>1543</v>
      </c>
      <c r="E240" s="61" t="s">
        <v>2725</v>
      </c>
    </row>
    <row r="241" spans="1:5" ht="11.45" customHeight="1">
      <c r="A241" s="60">
        <v>238</v>
      </c>
      <c r="B241" s="61" t="s">
        <v>2726</v>
      </c>
      <c r="C241" s="62">
        <v>0</v>
      </c>
      <c r="D241" s="63" t="s">
        <v>1888</v>
      </c>
      <c r="E241" s="61" t="s">
        <v>2727</v>
      </c>
    </row>
    <row r="242" spans="1:5" ht="11.45" customHeight="1">
      <c r="A242" s="60">
        <v>239</v>
      </c>
      <c r="B242" s="61" t="s">
        <v>2728</v>
      </c>
      <c r="C242" s="62">
        <v>0</v>
      </c>
      <c r="D242" s="63" t="s">
        <v>1891</v>
      </c>
      <c r="E242" s="61" t="s">
        <v>2729</v>
      </c>
    </row>
    <row r="243" spans="1:5" ht="11.45" customHeight="1">
      <c r="A243" s="60">
        <v>240</v>
      </c>
      <c r="B243" s="61" t="s">
        <v>2730</v>
      </c>
      <c r="C243" s="62">
        <v>0</v>
      </c>
      <c r="D243" s="63" t="s">
        <v>1894</v>
      </c>
      <c r="E243" s="61" t="s">
        <v>2731</v>
      </c>
    </row>
    <row r="244" spans="1:5" ht="11.45" customHeight="1">
      <c r="A244" s="60">
        <v>241</v>
      </c>
      <c r="B244" s="61" t="s">
        <v>2732</v>
      </c>
      <c r="C244" s="62">
        <v>1</v>
      </c>
      <c r="D244" s="63" t="s">
        <v>2733</v>
      </c>
      <c r="E244" s="61" t="s">
        <v>2734</v>
      </c>
    </row>
    <row r="245" spans="1:5" ht="11.45" customHeight="1">
      <c r="A245" s="60">
        <v>242</v>
      </c>
      <c r="B245" s="61" t="s">
        <v>2735</v>
      </c>
      <c r="C245" s="62">
        <v>0</v>
      </c>
      <c r="D245" s="63" t="s">
        <v>1900</v>
      </c>
      <c r="E245" s="61" t="s">
        <v>2736</v>
      </c>
    </row>
    <row r="246" spans="1:5" ht="11.45" customHeight="1">
      <c r="A246" s="60">
        <v>243</v>
      </c>
      <c r="B246" s="61" t="s">
        <v>2737</v>
      </c>
      <c r="C246" s="62">
        <v>0</v>
      </c>
      <c r="D246" s="63" t="s">
        <v>1903</v>
      </c>
      <c r="E246" s="61" t="s">
        <v>2738</v>
      </c>
    </row>
    <row r="247" spans="1:5" ht="11.45" customHeight="1">
      <c r="A247" s="60">
        <v>244</v>
      </c>
      <c r="B247" s="61" t="s">
        <v>2739</v>
      </c>
      <c r="C247" s="62">
        <v>0</v>
      </c>
      <c r="D247" s="63" t="s">
        <v>1906</v>
      </c>
      <c r="E247" s="61" t="s">
        <v>2740</v>
      </c>
    </row>
    <row r="248" spans="1:5" ht="11.45" customHeight="1">
      <c r="A248" s="60">
        <v>245</v>
      </c>
      <c r="B248" s="61" t="s">
        <v>2741</v>
      </c>
      <c r="C248" s="62">
        <v>1</v>
      </c>
      <c r="D248" s="63" t="s">
        <v>475</v>
      </c>
      <c r="E248" s="61" t="s">
        <v>2742</v>
      </c>
    </row>
    <row r="249" spans="1:5" ht="11.45" customHeight="1">
      <c r="A249" s="60">
        <v>246</v>
      </c>
      <c r="B249" s="61" t="s">
        <v>2743</v>
      </c>
      <c r="C249" s="62">
        <v>1</v>
      </c>
      <c r="D249" s="63" t="s">
        <v>2744</v>
      </c>
      <c r="E249" s="64"/>
    </row>
    <row r="250" spans="1:5" ht="11.45" customHeight="1">
      <c r="A250" s="60">
        <v>247</v>
      </c>
      <c r="B250" s="61" t="s">
        <v>2745</v>
      </c>
      <c r="C250" s="62">
        <v>0</v>
      </c>
      <c r="D250" s="63" t="s">
        <v>1340</v>
      </c>
      <c r="E250" s="61" t="s">
        <v>2746</v>
      </c>
    </row>
    <row r="251" spans="1:5" ht="11.45" customHeight="1">
      <c r="A251" s="60">
        <v>248</v>
      </c>
      <c r="B251" s="61" t="s">
        <v>2747</v>
      </c>
      <c r="C251" s="62">
        <v>1</v>
      </c>
      <c r="D251" s="63" t="s">
        <v>1385</v>
      </c>
      <c r="E251" s="61" t="s">
        <v>2748</v>
      </c>
    </row>
    <row r="252" spans="1:5" ht="11.45" customHeight="1">
      <c r="A252" s="60">
        <v>249</v>
      </c>
      <c r="B252" s="61" t="s">
        <v>2749</v>
      </c>
      <c r="C252" s="62">
        <v>0</v>
      </c>
      <c r="D252" s="63" t="s">
        <v>1546</v>
      </c>
      <c r="E252" s="61" t="s">
        <v>2750</v>
      </c>
    </row>
    <row r="253" spans="1:5" ht="11.45" customHeight="1">
      <c r="A253" s="60">
        <v>250</v>
      </c>
      <c r="B253" s="61" t="s">
        <v>2751</v>
      </c>
      <c r="C253" s="62">
        <v>0</v>
      </c>
      <c r="D253" s="63" t="s">
        <v>1760</v>
      </c>
      <c r="E253" s="61" t="s">
        <v>2752</v>
      </c>
    </row>
    <row r="254" spans="1:5" ht="11.45" customHeight="1">
      <c r="A254" s="60">
        <v>251</v>
      </c>
      <c r="B254" s="61" t="s">
        <v>2753</v>
      </c>
      <c r="C254" s="62">
        <v>2</v>
      </c>
      <c r="D254" s="63" t="s">
        <v>1789</v>
      </c>
      <c r="E254" s="64"/>
    </row>
    <row r="255" spans="1:5" ht="11.45" customHeight="1">
      <c r="A255" s="60">
        <v>252</v>
      </c>
      <c r="B255" s="61" t="s">
        <v>2754</v>
      </c>
      <c r="C255" s="62">
        <v>1</v>
      </c>
      <c r="D255" s="63" t="s">
        <v>1792</v>
      </c>
      <c r="E255" s="64"/>
    </row>
    <row r="256" spans="1:5" ht="11.45" customHeight="1">
      <c r="A256" s="60">
        <v>253</v>
      </c>
      <c r="B256" s="61" t="s">
        <v>2755</v>
      </c>
      <c r="C256" s="62">
        <v>0</v>
      </c>
      <c r="D256" s="63" t="s">
        <v>2756</v>
      </c>
      <c r="E256" s="65"/>
    </row>
    <row r="257" spans="1:5" ht="11.45" customHeight="1">
      <c r="A257" s="60">
        <v>254</v>
      </c>
      <c r="B257" s="61" t="s">
        <v>2757</v>
      </c>
      <c r="C257" s="62">
        <v>0</v>
      </c>
      <c r="D257" s="63" t="s">
        <v>2758</v>
      </c>
      <c r="E257" s="61" t="s">
        <v>2759</v>
      </c>
    </row>
    <row r="258" spans="1:5" ht="11.45" customHeight="1">
      <c r="A258" s="60">
        <v>255</v>
      </c>
      <c r="B258" s="61" t="s">
        <v>2760</v>
      </c>
      <c r="C258" s="62">
        <v>2</v>
      </c>
      <c r="D258" s="63" t="s">
        <v>1937</v>
      </c>
      <c r="E258" s="61" t="s">
        <v>2761</v>
      </c>
    </row>
    <row r="259" spans="1:5" ht="11.45" customHeight="1">
      <c r="A259" s="60">
        <v>256</v>
      </c>
      <c r="B259" s="61" t="s">
        <v>2762</v>
      </c>
      <c r="C259" s="62">
        <v>1</v>
      </c>
      <c r="D259" s="63" t="s">
        <v>478</v>
      </c>
      <c r="E259" s="64"/>
    </row>
    <row r="260" spans="1:5" ht="11.45" customHeight="1">
      <c r="A260" s="60">
        <v>257</v>
      </c>
      <c r="B260" s="61" t="s">
        <v>2763</v>
      </c>
      <c r="C260" s="62">
        <v>2</v>
      </c>
      <c r="D260" s="63" t="s">
        <v>481</v>
      </c>
      <c r="E260" s="61" t="s">
        <v>2764</v>
      </c>
    </row>
    <row r="261" spans="1:5" ht="11.45" customHeight="1">
      <c r="A261" s="60">
        <v>258</v>
      </c>
      <c r="B261" s="61" t="s">
        <v>2765</v>
      </c>
      <c r="C261" s="62">
        <v>1</v>
      </c>
      <c r="D261" s="63" t="s">
        <v>484</v>
      </c>
      <c r="E261" s="61" t="s">
        <v>2766</v>
      </c>
    </row>
    <row r="262" spans="1:5" ht="11.45" customHeight="1">
      <c r="A262" s="60">
        <v>259</v>
      </c>
      <c r="B262" s="61" t="s">
        <v>2767</v>
      </c>
      <c r="C262" s="62">
        <v>1</v>
      </c>
      <c r="D262" s="63" t="s">
        <v>487</v>
      </c>
      <c r="E262" s="61" t="s">
        <v>2768</v>
      </c>
    </row>
    <row r="263" spans="1:5" ht="11.45" customHeight="1">
      <c r="A263" s="60">
        <v>260</v>
      </c>
      <c r="B263" s="61" t="s">
        <v>2769</v>
      </c>
      <c r="C263" s="62">
        <v>0</v>
      </c>
      <c r="D263" s="63" t="s">
        <v>1549</v>
      </c>
      <c r="E263" s="61" t="s">
        <v>2770</v>
      </c>
    </row>
    <row r="264" spans="1:5" ht="11.45" customHeight="1">
      <c r="A264" s="60">
        <v>261</v>
      </c>
      <c r="B264" s="61" t="s">
        <v>2771</v>
      </c>
      <c r="C264" s="62">
        <v>2</v>
      </c>
      <c r="D264" s="63" t="s">
        <v>1552</v>
      </c>
      <c r="E264" s="61" t="s">
        <v>2772</v>
      </c>
    </row>
    <row r="265" spans="1:5" ht="11.45" customHeight="1">
      <c r="A265" s="60">
        <v>262</v>
      </c>
      <c r="B265" s="61" t="s">
        <v>2773</v>
      </c>
      <c r="C265" s="62">
        <v>0</v>
      </c>
      <c r="D265" s="63" t="s">
        <v>1909</v>
      </c>
      <c r="E265" s="64"/>
    </row>
    <row r="266" spans="1:5" ht="11.45" customHeight="1">
      <c r="A266" s="60">
        <v>263</v>
      </c>
      <c r="B266" s="61" t="s">
        <v>2774</v>
      </c>
      <c r="C266" s="62">
        <v>1</v>
      </c>
      <c r="D266" s="63" t="s">
        <v>1912</v>
      </c>
      <c r="E266" s="61" t="s">
        <v>2775</v>
      </c>
    </row>
    <row r="267" spans="1:5" ht="11.45" customHeight="1">
      <c r="A267" s="60">
        <v>264</v>
      </c>
      <c r="B267" s="61" t="s">
        <v>2776</v>
      </c>
      <c r="C267" s="62">
        <v>0</v>
      </c>
      <c r="D267" s="63" t="s">
        <v>1915</v>
      </c>
      <c r="E267" s="65"/>
    </row>
    <row r="268" spans="1:5" ht="11.45" customHeight="1">
      <c r="A268" s="60">
        <v>265</v>
      </c>
      <c r="B268" s="61" t="s">
        <v>2777</v>
      </c>
      <c r="C268" s="62">
        <v>0</v>
      </c>
      <c r="D268" s="63" t="s">
        <v>599</v>
      </c>
      <c r="E268" s="61" t="s">
        <v>2778</v>
      </c>
    </row>
    <row r="269" spans="1:5" ht="11.45" customHeight="1">
      <c r="A269" s="60">
        <v>266</v>
      </c>
      <c r="B269" s="61" t="s">
        <v>2779</v>
      </c>
      <c r="C269" s="62">
        <v>1</v>
      </c>
      <c r="D269" s="63" t="s">
        <v>2780</v>
      </c>
      <c r="E269" s="61" t="s">
        <v>2781</v>
      </c>
    </row>
    <row r="270" spans="1:5" ht="11.45" customHeight="1">
      <c r="A270" s="60">
        <v>267</v>
      </c>
      <c r="B270" s="61" t="s">
        <v>2782</v>
      </c>
      <c r="C270" s="62">
        <v>1</v>
      </c>
      <c r="D270" s="63" t="s">
        <v>2783</v>
      </c>
      <c r="E270" s="61" t="s">
        <v>2784</v>
      </c>
    </row>
    <row r="271" spans="1:5" ht="11.45" customHeight="1">
      <c r="A271" s="60">
        <v>268</v>
      </c>
      <c r="B271" s="61" t="s">
        <v>2785</v>
      </c>
      <c r="C271" s="62">
        <v>1</v>
      </c>
      <c r="D271" s="63" t="s">
        <v>1391</v>
      </c>
      <c r="E271" s="65"/>
    </row>
    <row r="272" spans="1:5" ht="11.45" customHeight="1">
      <c r="A272" s="60">
        <v>269</v>
      </c>
      <c r="B272" s="61" t="s">
        <v>2786</v>
      </c>
      <c r="C272" s="62">
        <v>2</v>
      </c>
      <c r="D272" s="63" t="s">
        <v>2787</v>
      </c>
      <c r="E272" s="61" t="s">
        <v>2788</v>
      </c>
    </row>
    <row r="273" spans="1:5" ht="11.45" customHeight="1">
      <c r="A273" s="60">
        <v>270</v>
      </c>
      <c r="B273" s="61" t="s">
        <v>2789</v>
      </c>
      <c r="C273" s="62">
        <v>1</v>
      </c>
      <c r="D273" s="63" t="s">
        <v>1555</v>
      </c>
      <c r="E273" s="61" t="s">
        <v>2790</v>
      </c>
    </row>
    <row r="274" spans="1:5" ht="11.45" customHeight="1">
      <c r="A274" s="60">
        <v>271</v>
      </c>
      <c r="B274" s="61" t="s">
        <v>2791</v>
      </c>
      <c r="C274" s="62">
        <v>0</v>
      </c>
      <c r="D274" s="63" t="s">
        <v>1558</v>
      </c>
      <c r="E274" s="61" t="s">
        <v>2792</v>
      </c>
    </row>
    <row r="275" spans="1:5" ht="11.45" customHeight="1">
      <c r="A275" s="60">
        <v>272</v>
      </c>
      <c r="B275" s="61" t="s">
        <v>2793</v>
      </c>
      <c r="C275" s="62">
        <v>0</v>
      </c>
      <c r="D275" s="63" t="s">
        <v>2794</v>
      </c>
      <c r="E275" s="65"/>
    </row>
    <row r="276" spans="1:5" ht="11.45" customHeight="1">
      <c r="A276" s="60">
        <v>273</v>
      </c>
      <c r="B276" s="61" t="s">
        <v>2795</v>
      </c>
      <c r="C276" s="62">
        <v>0</v>
      </c>
      <c r="D276" s="63" t="s">
        <v>1564</v>
      </c>
      <c r="E276" s="65"/>
    </row>
    <row r="277" spans="1:5" ht="11.45" customHeight="1">
      <c r="A277" s="60">
        <v>274</v>
      </c>
      <c r="B277" s="61" t="s">
        <v>2796</v>
      </c>
      <c r="C277" s="62">
        <v>0</v>
      </c>
      <c r="D277" s="63" t="s">
        <v>2797</v>
      </c>
      <c r="E277" s="66"/>
    </row>
    <row r="278" spans="1:5" ht="11.45" customHeight="1">
      <c r="A278" s="60">
        <v>275</v>
      </c>
      <c r="B278" s="61" t="s">
        <v>2798</v>
      </c>
      <c r="C278" s="62">
        <v>0</v>
      </c>
      <c r="D278" s="63" t="s">
        <v>2799</v>
      </c>
      <c r="E278" s="66"/>
    </row>
    <row r="279" spans="1:5" ht="11.45" customHeight="1">
      <c r="A279" s="60">
        <v>276</v>
      </c>
      <c r="B279" s="61" t="s">
        <v>2800</v>
      </c>
      <c r="C279" s="62">
        <v>0</v>
      </c>
      <c r="D279" s="63" t="s">
        <v>1573</v>
      </c>
      <c r="E279" s="61" t="s">
        <v>2801</v>
      </c>
    </row>
    <row r="280" spans="1:5" ht="11.45" customHeight="1">
      <c r="A280" s="60">
        <v>277</v>
      </c>
      <c r="B280" s="61" t="s">
        <v>2802</v>
      </c>
      <c r="C280" s="62">
        <v>1</v>
      </c>
      <c r="D280" s="63" t="s">
        <v>2803</v>
      </c>
      <c r="E280" s="65"/>
    </row>
    <row r="281" spans="1:5" ht="11.45" customHeight="1">
      <c r="A281" s="60">
        <v>278</v>
      </c>
      <c r="B281" s="61" t="s">
        <v>2804</v>
      </c>
      <c r="C281" s="62">
        <v>0</v>
      </c>
      <c r="D281" s="63" t="s">
        <v>1579</v>
      </c>
      <c r="E281" s="61" t="s">
        <v>2805</v>
      </c>
    </row>
    <row r="282" spans="1:5" ht="11.45" customHeight="1">
      <c r="A282" s="60">
        <v>279</v>
      </c>
      <c r="B282" s="61" t="s">
        <v>2806</v>
      </c>
      <c r="C282" s="62">
        <v>0</v>
      </c>
      <c r="D282" s="63" t="s">
        <v>1582</v>
      </c>
      <c r="E282" s="61" t="s">
        <v>2807</v>
      </c>
    </row>
    <row r="283" spans="1:5" ht="11.45" customHeight="1">
      <c r="A283" s="60">
        <v>280</v>
      </c>
      <c r="B283" s="61" t="s">
        <v>2808</v>
      </c>
      <c r="C283" s="62">
        <v>0</v>
      </c>
      <c r="D283" s="63" t="s">
        <v>1585</v>
      </c>
      <c r="E283" s="61" t="s">
        <v>2809</v>
      </c>
    </row>
    <row r="284" spans="1:5" ht="11.45" customHeight="1">
      <c r="A284" s="60">
        <v>281</v>
      </c>
      <c r="B284" s="61" t="s">
        <v>2810</v>
      </c>
      <c r="C284" s="62">
        <v>0</v>
      </c>
      <c r="D284" s="63" t="s">
        <v>2811</v>
      </c>
      <c r="E284" s="65"/>
    </row>
    <row r="285" spans="1:5" ht="11.45" customHeight="1">
      <c r="A285" s="60">
        <v>282</v>
      </c>
      <c r="B285" s="61" t="s">
        <v>2812</v>
      </c>
      <c r="C285" s="62">
        <v>0</v>
      </c>
      <c r="D285" s="63" t="s">
        <v>1731</v>
      </c>
      <c r="E285" s="65"/>
    </row>
    <row r="286" spans="1:5" ht="11.45" customHeight="1">
      <c r="A286" s="60">
        <v>283</v>
      </c>
      <c r="B286" s="61" t="s">
        <v>2813</v>
      </c>
      <c r="C286" s="62">
        <v>1</v>
      </c>
      <c r="D286" s="63" t="s">
        <v>1734</v>
      </c>
      <c r="E286" s="61" t="s">
        <v>2814</v>
      </c>
    </row>
    <row r="287" spans="1:5" ht="11.45" customHeight="1">
      <c r="A287" s="60">
        <v>284</v>
      </c>
      <c r="B287" s="61" t="s">
        <v>2815</v>
      </c>
      <c r="C287" s="62">
        <v>0</v>
      </c>
      <c r="D287" s="63" t="s">
        <v>1737</v>
      </c>
      <c r="E287" s="61" t="s">
        <v>2816</v>
      </c>
    </row>
    <row r="288" spans="1:5" ht="11.45" customHeight="1">
      <c r="A288" s="60">
        <v>285</v>
      </c>
      <c r="B288" s="61" t="s">
        <v>2817</v>
      </c>
      <c r="C288" s="62">
        <v>0</v>
      </c>
      <c r="D288" s="63" t="s">
        <v>1740</v>
      </c>
      <c r="E288" s="61" t="s">
        <v>2818</v>
      </c>
    </row>
    <row r="289" spans="1:5" ht="11.45" customHeight="1">
      <c r="A289" s="60">
        <v>286</v>
      </c>
      <c r="B289" s="61" t="s">
        <v>2819</v>
      </c>
      <c r="C289" s="62">
        <v>0</v>
      </c>
      <c r="D289" s="63" t="s">
        <v>1743</v>
      </c>
      <c r="E289" s="61" t="s">
        <v>2820</v>
      </c>
    </row>
    <row r="290" spans="1:5" ht="11.45" customHeight="1">
      <c r="A290" s="60">
        <v>287</v>
      </c>
      <c r="B290" s="61" t="s">
        <v>2821</v>
      </c>
      <c r="C290" s="62">
        <v>0</v>
      </c>
      <c r="D290" s="63" t="s">
        <v>1746</v>
      </c>
      <c r="E290" s="61" t="s">
        <v>2822</v>
      </c>
    </row>
    <row r="291" spans="1:5" ht="11.45" customHeight="1">
      <c r="A291" s="60">
        <v>288</v>
      </c>
      <c r="B291" s="61" t="s">
        <v>2823</v>
      </c>
      <c r="C291" s="62">
        <v>0</v>
      </c>
      <c r="D291" s="63" t="s">
        <v>1749</v>
      </c>
      <c r="E291" s="61" t="s">
        <v>2824</v>
      </c>
    </row>
    <row r="292" spans="1:5" ht="11.45" customHeight="1">
      <c r="A292" s="60">
        <v>289</v>
      </c>
      <c r="B292" s="61" t="s">
        <v>2825</v>
      </c>
      <c r="C292" s="62">
        <v>1</v>
      </c>
      <c r="D292" s="63" t="s">
        <v>1752</v>
      </c>
      <c r="E292" s="61" t="s">
        <v>2826</v>
      </c>
    </row>
    <row r="293" spans="1:5" ht="11.45" customHeight="1">
      <c r="A293" s="60">
        <v>290</v>
      </c>
      <c r="B293" s="61" t="s">
        <v>2827</v>
      </c>
      <c r="C293" s="62">
        <v>0</v>
      </c>
      <c r="D293" s="63" t="s">
        <v>1757</v>
      </c>
      <c r="E293" s="61" t="s">
        <v>2828</v>
      </c>
    </row>
    <row r="294" spans="1:5" ht="11.45" customHeight="1">
      <c r="A294" s="60">
        <v>291</v>
      </c>
      <c r="B294" s="61" t="s">
        <v>2829</v>
      </c>
      <c r="C294" s="62">
        <v>0</v>
      </c>
      <c r="D294" s="63" t="s">
        <v>1918</v>
      </c>
      <c r="E294" s="65"/>
    </row>
    <row r="295" spans="1:5" ht="11.45" customHeight="1">
      <c r="A295" s="60">
        <v>292</v>
      </c>
      <c r="B295" s="61" t="s">
        <v>2830</v>
      </c>
      <c r="C295" s="62">
        <v>1</v>
      </c>
      <c r="D295" s="63" t="s">
        <v>1921</v>
      </c>
      <c r="E295" s="61" t="s">
        <v>2831</v>
      </c>
    </row>
    <row r="296" spans="1:5" ht="11.45" customHeight="1">
      <c r="A296" s="60">
        <v>293</v>
      </c>
      <c r="B296" s="61" t="s">
        <v>2832</v>
      </c>
      <c r="C296" s="62">
        <v>0</v>
      </c>
      <c r="D296" s="63" t="s">
        <v>1924</v>
      </c>
      <c r="E296" s="61" t="s">
        <v>2833</v>
      </c>
    </row>
    <row r="297" spans="1:5" ht="11.45" customHeight="1">
      <c r="A297" s="60">
        <v>294</v>
      </c>
      <c r="B297" s="61" t="s">
        <v>2834</v>
      </c>
      <c r="C297" s="62">
        <v>0</v>
      </c>
      <c r="D297" s="63" t="s">
        <v>1940</v>
      </c>
      <c r="E297" s="61" t="s">
        <v>2835</v>
      </c>
    </row>
    <row r="298" spans="1:5" ht="11.45" customHeight="1">
      <c r="A298" s="60">
        <v>295</v>
      </c>
      <c r="B298" s="61" t="s">
        <v>2836</v>
      </c>
      <c r="C298" s="62">
        <v>0</v>
      </c>
      <c r="D298" s="63" t="s">
        <v>1806</v>
      </c>
      <c r="E298" s="61" t="s">
        <v>2837</v>
      </c>
    </row>
    <row r="299" spans="1:5" ht="11.45" customHeight="1">
      <c r="A299" s="60">
        <v>296</v>
      </c>
      <c r="B299" s="61" t="s">
        <v>2838</v>
      </c>
      <c r="C299" s="62">
        <v>0</v>
      </c>
      <c r="D299" s="63" t="s">
        <v>1809</v>
      </c>
      <c r="E299" s="61" t="s">
        <v>2839</v>
      </c>
    </row>
    <row r="300" spans="1:5" ht="11.45" customHeight="1">
      <c r="A300" s="60">
        <v>297</v>
      </c>
      <c r="B300" s="61" t="s">
        <v>2840</v>
      </c>
      <c r="C300" s="62">
        <v>0</v>
      </c>
      <c r="D300" s="63" t="s">
        <v>1812</v>
      </c>
      <c r="E300" s="61" t="s">
        <v>2841</v>
      </c>
    </row>
    <row r="301" spans="1:5" ht="11.45" customHeight="1">
      <c r="A301" s="60">
        <v>298</v>
      </c>
      <c r="B301" s="61" t="s">
        <v>2842</v>
      </c>
      <c r="C301" s="62">
        <v>0</v>
      </c>
      <c r="D301" s="63" t="s">
        <v>1815</v>
      </c>
      <c r="E301" s="61" t="s">
        <v>2843</v>
      </c>
    </row>
    <row r="302" spans="1:5" ht="11.45" customHeight="1">
      <c r="A302" s="60">
        <v>299</v>
      </c>
      <c r="B302" s="61" t="s">
        <v>2844</v>
      </c>
      <c r="C302" s="62">
        <v>0</v>
      </c>
      <c r="D302" s="63" t="s">
        <v>1818</v>
      </c>
      <c r="E302" s="61" t="s">
        <v>2845</v>
      </c>
    </row>
    <row r="303" spans="1:5" ht="11.45" customHeight="1">
      <c r="A303" s="60">
        <v>300</v>
      </c>
      <c r="B303" s="61" t="s">
        <v>2846</v>
      </c>
      <c r="C303" s="62">
        <v>0</v>
      </c>
      <c r="D303" s="63" t="s">
        <v>1821</v>
      </c>
      <c r="E303" s="61" t="s">
        <v>2847</v>
      </c>
    </row>
    <row r="304" spans="1:5" ht="11.45" customHeight="1">
      <c r="A304" s="60">
        <v>301</v>
      </c>
      <c r="B304" s="61" t="s">
        <v>2848</v>
      </c>
      <c r="C304" s="62">
        <v>0</v>
      </c>
      <c r="D304" s="63" t="s">
        <v>1824</v>
      </c>
      <c r="E304" s="61" t="s">
        <v>2849</v>
      </c>
    </row>
    <row r="305" spans="1:5" ht="11.45" customHeight="1">
      <c r="A305" s="60">
        <v>302</v>
      </c>
      <c r="B305" s="61" t="s">
        <v>2850</v>
      </c>
      <c r="C305" s="62">
        <v>0</v>
      </c>
      <c r="D305" s="63" t="s">
        <v>1827</v>
      </c>
      <c r="E305" s="65"/>
    </row>
    <row r="306" spans="1:5" ht="11.45" customHeight="1">
      <c r="A306" s="60">
        <v>303</v>
      </c>
      <c r="B306" s="61" t="s">
        <v>2851</v>
      </c>
      <c r="C306" s="62">
        <v>0</v>
      </c>
      <c r="D306" s="63" t="s">
        <v>2852</v>
      </c>
      <c r="E306" s="65"/>
    </row>
    <row r="307" spans="1:5" ht="11.45" customHeight="1">
      <c r="A307" s="60">
        <v>304</v>
      </c>
      <c r="B307" s="61" t="s">
        <v>2853</v>
      </c>
      <c r="C307" s="62">
        <v>0</v>
      </c>
      <c r="D307" s="63" t="s">
        <v>2854</v>
      </c>
      <c r="E307" s="65"/>
    </row>
    <row r="308" spans="1:5" ht="11.45" customHeight="1">
      <c r="A308" s="60">
        <v>305</v>
      </c>
      <c r="B308" s="61" t="s">
        <v>2855</v>
      </c>
      <c r="C308" s="62">
        <v>0</v>
      </c>
      <c r="D308" s="63" t="s">
        <v>2856</v>
      </c>
      <c r="E308" s="65"/>
    </row>
    <row r="309" spans="1:5" ht="11.45" customHeight="1">
      <c r="A309" s="60">
        <v>306</v>
      </c>
      <c r="B309" s="61" t="s">
        <v>2857</v>
      </c>
      <c r="C309" s="62">
        <v>0</v>
      </c>
      <c r="D309" s="63" t="s">
        <v>2858</v>
      </c>
      <c r="E309" s="65"/>
    </row>
    <row r="310" spans="1:5" ht="11.45" customHeight="1">
      <c r="A310" s="60">
        <v>307</v>
      </c>
      <c r="B310" s="61" t="s">
        <v>2859</v>
      </c>
      <c r="C310" s="62">
        <v>0</v>
      </c>
      <c r="D310" s="63" t="s">
        <v>2860</v>
      </c>
      <c r="E310" s="65"/>
    </row>
    <row r="311" spans="1:5" ht="11.45" customHeight="1">
      <c r="A311" s="60">
        <v>308</v>
      </c>
      <c r="B311" s="61" t="s">
        <v>2861</v>
      </c>
      <c r="C311" s="62">
        <v>0</v>
      </c>
      <c r="D311" s="63" t="s">
        <v>2862</v>
      </c>
      <c r="E311" s="65"/>
    </row>
    <row r="312" spans="1:5" ht="11.45" customHeight="1">
      <c r="A312" s="60">
        <v>309</v>
      </c>
      <c r="B312" s="61" t="s">
        <v>2863</v>
      </c>
      <c r="C312" s="62">
        <v>2</v>
      </c>
      <c r="D312" s="63" t="s">
        <v>2864</v>
      </c>
      <c r="E312" s="65"/>
    </row>
    <row r="313" spans="1:5" ht="11.45" customHeight="1">
      <c r="A313" s="60">
        <v>310</v>
      </c>
      <c r="B313" s="61" t="s">
        <v>2865</v>
      </c>
      <c r="C313" s="62">
        <v>1</v>
      </c>
      <c r="D313" s="63" t="s">
        <v>2866</v>
      </c>
      <c r="E313" s="65"/>
    </row>
    <row r="314" spans="1:5" ht="11.45" customHeight="1">
      <c r="A314" s="60">
        <v>311</v>
      </c>
      <c r="B314" s="61" t="s">
        <v>2867</v>
      </c>
      <c r="C314" s="62">
        <v>2</v>
      </c>
      <c r="D314" s="63" t="s">
        <v>2868</v>
      </c>
      <c r="E314" s="65"/>
    </row>
    <row r="315" spans="1:5" ht="11.45" customHeight="1">
      <c r="A315" s="60">
        <v>312</v>
      </c>
      <c r="B315" s="61" t="s">
        <v>2869</v>
      </c>
      <c r="C315" s="62">
        <v>2</v>
      </c>
      <c r="D315" s="63" t="s">
        <v>2870</v>
      </c>
      <c r="E315" s="65"/>
    </row>
    <row r="316" spans="1:5" ht="11.45" customHeight="1">
      <c r="A316" s="60">
        <v>313</v>
      </c>
      <c r="B316" s="61" t="s">
        <v>2871</v>
      </c>
      <c r="C316" s="62">
        <v>2</v>
      </c>
      <c r="D316" s="63" t="s">
        <v>1656</v>
      </c>
      <c r="E316" s="65"/>
    </row>
    <row r="317" spans="1:5" ht="11.45" customHeight="1">
      <c r="A317" s="60">
        <v>314</v>
      </c>
      <c r="B317" s="61" t="s">
        <v>2872</v>
      </c>
      <c r="C317" s="62">
        <v>3</v>
      </c>
      <c r="D317" s="63" t="s">
        <v>2873</v>
      </c>
      <c r="E317" s="65"/>
    </row>
    <row r="318" spans="1:5" ht="11.45" customHeight="1">
      <c r="A318" s="60">
        <v>315</v>
      </c>
      <c r="B318" s="61" t="s">
        <v>2874</v>
      </c>
      <c r="C318" s="62">
        <v>3</v>
      </c>
      <c r="D318" s="63" t="s">
        <v>2875</v>
      </c>
      <c r="E318" s="65"/>
    </row>
    <row r="319" spans="1:5" ht="11.45" customHeight="1">
      <c r="A319" s="60">
        <v>316</v>
      </c>
      <c r="B319" s="61" t="s">
        <v>2876</v>
      </c>
      <c r="C319" s="62">
        <v>3</v>
      </c>
      <c r="D319" s="63" t="s">
        <v>2877</v>
      </c>
      <c r="E319" s="66"/>
    </row>
    <row r="320" spans="1:5" ht="11.45" customHeight="1">
      <c r="A320" s="60">
        <v>317</v>
      </c>
      <c r="B320" s="61" t="s">
        <v>2878</v>
      </c>
      <c r="C320" s="62">
        <v>3</v>
      </c>
      <c r="D320" s="63" t="s">
        <v>2879</v>
      </c>
      <c r="E320" s="65"/>
    </row>
    <row r="321" spans="1:5" ht="11.45" customHeight="1">
      <c r="A321" s="60">
        <v>318</v>
      </c>
      <c r="B321" s="61" t="s">
        <v>2880</v>
      </c>
      <c r="C321" s="62">
        <v>3</v>
      </c>
      <c r="D321" s="63" t="s">
        <v>2881</v>
      </c>
      <c r="E321" s="65"/>
    </row>
    <row r="322" spans="1:5" ht="11.45" customHeight="1">
      <c r="A322" s="60">
        <v>319</v>
      </c>
      <c r="B322" s="61" t="s">
        <v>2882</v>
      </c>
      <c r="C322" s="62">
        <v>3</v>
      </c>
      <c r="D322" s="63" t="s">
        <v>2883</v>
      </c>
      <c r="E322" s="65"/>
    </row>
    <row r="323" spans="1:5" ht="11.45" customHeight="1">
      <c r="A323" s="60">
        <v>320</v>
      </c>
      <c r="B323" s="61" t="s">
        <v>2884</v>
      </c>
      <c r="C323" s="62">
        <v>2</v>
      </c>
      <c r="D323" s="63" t="s">
        <v>2885</v>
      </c>
      <c r="E323" s="65"/>
    </row>
    <row r="324" spans="1:5" ht="11.45" customHeight="1">
      <c r="A324" s="60">
        <v>321</v>
      </c>
      <c r="B324" s="61" t="s">
        <v>2886</v>
      </c>
      <c r="C324" s="62">
        <v>0</v>
      </c>
      <c r="D324" s="63" t="s">
        <v>2887</v>
      </c>
      <c r="E324" s="65"/>
    </row>
    <row r="325" spans="1:5" ht="11.45" customHeight="1">
      <c r="A325" s="60">
        <v>322</v>
      </c>
      <c r="B325" s="61" t="s">
        <v>2888</v>
      </c>
      <c r="C325" s="62">
        <v>2</v>
      </c>
      <c r="D325" s="63" t="s">
        <v>2889</v>
      </c>
      <c r="E325" s="65"/>
    </row>
    <row r="326" spans="1:5" ht="11.45" customHeight="1">
      <c r="A326" s="60">
        <v>323</v>
      </c>
      <c r="B326" s="61" t="s">
        <v>2890</v>
      </c>
      <c r="C326" s="62">
        <v>1</v>
      </c>
      <c r="D326" s="63" t="s">
        <v>2891</v>
      </c>
      <c r="E326" s="65"/>
    </row>
    <row r="327" spans="1:5" ht="11.45" customHeight="1">
      <c r="A327" s="60">
        <v>324</v>
      </c>
      <c r="B327" s="61" t="s">
        <v>2892</v>
      </c>
      <c r="C327" s="62">
        <v>1</v>
      </c>
      <c r="D327" s="63" t="s">
        <v>2893</v>
      </c>
      <c r="E327" s="65"/>
    </row>
  </sheetData>
  <autoFilter ref="A3:E327" xr:uid="{00000000-0001-0000-0000-000000000000}"/>
  <hyperlinks>
    <hyperlink ref="B4" r:id="rId1" display="https://sgdoc.codelco.cl/sgdoc-mobile/stream?id=09024abd9509f892&amp;inline=true" xr:uid="{05DA7961-A605-45F0-9665-2C37A7FEA12C}"/>
    <hyperlink ref="B5" r:id="rId2" display="https://sgdoc.codelco.cl/sgdoc-mobile/stream?id=09024abd94f87587&amp;inline=true" xr:uid="{8BFF9B83-DC08-4F40-AFBD-CAD7843FDA27}"/>
    <hyperlink ref="B6" r:id="rId3" display="https://sgdoc.codelco.cl/sgdoc-mobile/stream?id=09024abd94f87a4e&amp;inline=true" xr:uid="{DD1AD381-BBC2-4FFC-AC88-E3245E7D5387}"/>
    <hyperlink ref="B7" r:id="rId4" display="https://sgdoc.codelco.cl/sgdoc-mobile/stream?id=09024abd93d51892&amp;inline=true" xr:uid="{12D3FE50-500F-4DB5-8DE2-76DD0808AB58}"/>
    <hyperlink ref="B8" r:id="rId5" display="https://sgdoc.codelco.cl/sgdoc-mobile/stream?id=09024abd93db2af5&amp;inline=true" xr:uid="{2CC191FD-5083-4052-B2E2-9E54F4BA4F19}"/>
    <hyperlink ref="B9" r:id="rId6" display="https://sgdoc.codelco.cl/sgdoc-mobile/stream?id=09024abd93d51920&amp;inline=true" xr:uid="{E35885ED-7F72-4884-BE98-1D9321396615}"/>
    <hyperlink ref="B10" r:id="rId7" display="https://sgdoc.codelco.cl/sgdoc-mobile/stream?id=09024abd943a5a7e&amp;inline=true" xr:uid="{4C4AE62B-4A35-4A4B-BE5D-0E427735342C}"/>
    <hyperlink ref="B11" r:id="rId8" display="https://sgdoc.codelco.cl/sgdoc-mobile/stream?id=09024abd9446bd3b&amp;inline=true" xr:uid="{CF372252-7566-45DA-817C-993DBED5D9C6}"/>
    <hyperlink ref="B12" r:id="rId9" display="https://sgdoc.codelco.cl/sgdoc-mobile/stream?id=09024abd9446c02b&amp;inline=true" xr:uid="{41341017-D5D0-4875-A222-E5BC08B96335}"/>
    <hyperlink ref="B13" r:id="rId10" display="https://sgdoc.codelco.cl/sgdoc-mobile/stream?id=09024abd92a6bbac&amp;inline=true" xr:uid="{3E61CB7B-2F11-4208-9F8C-2A7BE7F6FD65}"/>
    <hyperlink ref="B14" r:id="rId11" display="https://sgdoc.codelco.cl/sgdoc-mobile/stream?id=09024abd92d64576&amp;inline=true" xr:uid="{6C406004-0945-493D-B967-3B9DE703D62C}"/>
    <hyperlink ref="B15" r:id="rId12" display="https://sgdoc.codelco.cl/sgdoc-mobile/stream?id=09024abd92d648aa&amp;inline=true" xr:uid="{F1017F3A-2BC8-43C0-9896-650FCE8032E7}"/>
    <hyperlink ref="B16" r:id="rId13" display="https://sgdoc.codelco.cl/sgdoc-mobile/stream?id=09024abd94acbd87&amp;inline=true" xr:uid="{E8CC54E7-C86E-42E9-8A9B-EC0325D2A74C}"/>
    <hyperlink ref="B17" r:id="rId14" display="https://sgdoc.codelco.cl/sgdoc-mobile/stream?id=09024abd94acbec8&amp;inline=true" xr:uid="{A0346C06-11D7-4C51-9AED-45BB2252517D}"/>
    <hyperlink ref="B18" r:id="rId15" display="https://sgdoc.codelco.cl/sgdoc-mobile/stream?id=09024abd94acc1cb&amp;inline=true" xr:uid="{E070C868-5DCD-4CC9-8C00-4F98CF289DCD}"/>
    <hyperlink ref="B19" r:id="rId16" display="https://sgdoc.codelco.cl/sgdoc-mobile/stream?id=09024abd9390e10e&amp;inline=true" xr:uid="{A456447C-F26D-49D7-8024-3F4BBE23A4E1}"/>
    <hyperlink ref="B20" r:id="rId17" display="https://sgdoc.codelco.cl/sgdoc-mobile/stream?id=09024abd92857702&amp;inline=true" xr:uid="{CFA1C292-420E-4401-8088-AAC20EA866FD}"/>
    <hyperlink ref="B21" r:id="rId18" display="https://sgdoc.codelco.cl/sgdoc-mobile/stream?id=09024abd9446f469&amp;inline=true" xr:uid="{5DF563AB-749C-40E9-869B-EBB92DB95BFC}"/>
    <hyperlink ref="B22" r:id="rId19" display="https://sgdoc.codelco.cl/sgdoc-mobile/stream?id=09024abd94470172&amp;inline=true" xr:uid="{D604E586-5487-4800-BA6C-52CFF5B86119}"/>
    <hyperlink ref="B23" r:id="rId20" display="https://sgdoc.codelco.cl/sgdoc-mobile/stream?id=09024abd944702c3&amp;inline=true" xr:uid="{51B04A42-9102-4C20-BFCA-4C3A838BF804}"/>
    <hyperlink ref="B24" r:id="rId21" display="https://sgdoc.codelco.cl/sgdoc-mobile/stream?id=09024abd94b1a5d5&amp;inline=true" xr:uid="{9D60862C-FA72-489A-A153-5EFC1106F820}"/>
    <hyperlink ref="B25" r:id="rId22" display="https://sgdoc.codelco.cl/sgdoc-mobile/stream?id=09024abd93c7cd31&amp;inline=true" xr:uid="{75FC0D64-3829-4D50-A90B-525ADE5B84C1}"/>
    <hyperlink ref="B26" r:id="rId23" display="https://sgdoc.codelco.cl/sgdoc-mobile/stream?id=09024abd94b0ca7d&amp;inline=true" xr:uid="{6B087513-4225-4ACD-A22F-CB3E455910D3}"/>
    <hyperlink ref="B27" r:id="rId24" display="https://sgdoc.codelco.cl/sgdoc-mobile/stream?id=09024abd94b1a867&amp;inline=true" xr:uid="{DF49C190-EB0F-486D-8F39-71FA96A9B0A2}"/>
    <hyperlink ref="B28" r:id="rId25" display="https://sgdoc.codelco.cl/sgdoc-mobile/stream?id=09024abd94b1ac3d&amp;inline=true" xr:uid="{12C44A7A-4C61-4799-BD11-3B59186CDECA}"/>
    <hyperlink ref="B29" r:id="rId26" display="https://sgdoc.codelco.cl/sgdoc-mobile/stream?id=09024abd95598e76&amp;inline=true" xr:uid="{2F930DAC-92A9-4619-8316-1C04226A3130}"/>
    <hyperlink ref="B30" r:id="rId27" display="https://sgdoc.codelco.cl/sgdoc-mobile/stream?id=09024abd9509fe89&amp;inline=true" xr:uid="{37082B2E-50AE-4EA7-B808-CF5A0E01F4D5}"/>
    <hyperlink ref="B31" r:id="rId28" display="https://sgdoc.codelco.cl/sgdoc-mobile/stream?id=09024abd94f87ec2&amp;inline=true" xr:uid="{FB0A4C7B-F7B1-4BA2-B1FC-B8D7B003A0EA}"/>
    <hyperlink ref="B32" r:id="rId29" display="https://sgdoc.codelco.cl/sgdoc-mobile/stream?id=09024abd94fbdfc0&amp;inline=true" xr:uid="{8D67D810-2FE7-46A2-9B85-9B74991E9DE5}"/>
    <hyperlink ref="B33" r:id="rId30" display="https://sgdoc.codelco.cl/sgdoc-mobile/stream?id=09024abd94fbe2a7&amp;inline=true" xr:uid="{A651EEC5-D16C-4E12-B567-8DBCFB4E233F}"/>
    <hyperlink ref="B34" r:id="rId31" display="https://sgdoc.codelco.cl/sgdoc-mobile/stream?id=09024abd95125b51&amp;inline=true" xr:uid="{F2538822-D9D3-41E1-87B6-5F3D12B85769}"/>
    <hyperlink ref="B35" r:id="rId32" display="https://sgdoc.codelco.cl/sgdoc-mobile/stream?id=09024abd94f87fa9&amp;inline=true" xr:uid="{DAA91AEE-0911-4F03-A546-365B99C3DA03}"/>
    <hyperlink ref="B36" r:id="rId33" display="https://sgdoc.codelco.cl/sgdoc-mobile/stream?id=09024abd95125c43&amp;inline=true" xr:uid="{2914A5E7-23C5-4275-9426-D0C5E5347A16}"/>
    <hyperlink ref="B37" r:id="rId34" display="https://sgdoc.codelco.cl/sgdoc-mobile/stream?id=09024abd95125de6&amp;inline=true" xr:uid="{ED17ED4A-A178-4172-8053-29AD48F01E52}"/>
    <hyperlink ref="B38" r:id="rId35" display="https://sgdoc.codelco.cl/sgdoc-mobile/stream?id=09024abd94f88ad0&amp;inline=true" xr:uid="{468BD3FC-D1E6-406D-A294-AE410272CA20}"/>
    <hyperlink ref="B39" r:id="rId36" display="https://sgdoc.codelco.cl/sgdoc-mobile/stream?id=09024abd951264a1&amp;inline=true" xr:uid="{CCF34A9E-2CDB-4A3C-B145-1C4002B0684E}"/>
    <hyperlink ref="B40" r:id="rId37" display="https://sgdoc.codelco.cl/sgdoc-mobile/stream?id=09024abd951d3fe9&amp;inline=true" xr:uid="{860BA1F6-D165-49CC-8ECD-94B6F957521C}"/>
    <hyperlink ref="B41" r:id="rId38" display="https://sgdoc.codelco.cl/sgdoc-mobile/stream?id=09024abd94ad0835&amp;inline=true" xr:uid="{29D38A1B-50F9-41A8-8E04-4063EDC9762D}"/>
    <hyperlink ref="B42" r:id="rId39" display="https://sgdoc.codelco.cl/sgdoc-mobile/stream?id=09024abd94e195ae&amp;inline=true" xr:uid="{9333FC65-84E9-47AA-BF2A-E7D03CA705B6}"/>
    <hyperlink ref="B43" r:id="rId40" display="https://sgdoc.codelco.cl/sgdoc-mobile/stream?id=09024abd951d4185&amp;inline=true" xr:uid="{5AD2ACA1-C94E-4C40-8EEB-9892845F3DFA}"/>
    <hyperlink ref="B44" r:id="rId41" display="https://sgdoc.codelco.cl/sgdoc-mobile/stream?id=09024abd94b1b27d&amp;inline=true" xr:uid="{31629329-8A29-4207-9991-01266649E6F1}"/>
    <hyperlink ref="B45" r:id="rId42" display="https://sgdoc.codelco.cl/sgdoc-mobile/stream?id=09024abd9397d6d2&amp;inline=true" xr:uid="{847A1F24-7521-49C5-9EE1-2DC9C6EF8DF6}"/>
    <hyperlink ref="B46" r:id="rId43" display="https://sgdoc.codelco.cl/sgdoc-mobile/stream?id=09024abd93bab9a5&amp;inline=true" xr:uid="{B86FED88-8215-475F-897A-DC7D3A493269}"/>
    <hyperlink ref="B47" r:id="rId44" display="https://sgdoc.codelco.cl/sgdoc-mobile/stream?id=09024abd93553755&amp;inline=true" xr:uid="{5302F62A-26B4-4316-B827-49CAB911E3D0}"/>
    <hyperlink ref="B48" r:id="rId45" display="https://sgdoc.codelco.cl/sgdoc-mobile/stream?id=09024abd947f0a74&amp;inline=true" xr:uid="{49F43F6F-1672-4DB6-B28C-9A6B64FD1DA2}"/>
    <hyperlink ref="B49" r:id="rId46" display="https://sgdoc.codelco.cl/sgdoc-mobile/stream?id=09024abd94722304&amp;inline=true" xr:uid="{A09746F9-E295-40E3-AF4C-14894E4C2804}"/>
    <hyperlink ref="B50" r:id="rId47" display="https://sgdoc.codelco.cl/sgdoc-mobile/stream?id=09024abd9472278e&amp;inline=true" xr:uid="{15F9C89F-86DB-446D-A315-801E590AFE56}"/>
    <hyperlink ref="B51" r:id="rId48" display="https://sgdoc.codelco.cl/sgdoc-mobile/stream?id=09024abd943a6114&amp;inline=true" xr:uid="{7EFB86DF-4F5C-44D9-8BE2-7C8F52C2C295}"/>
    <hyperlink ref="B52" r:id="rId49" display="https://sgdoc.codelco.cl/sgdoc-mobile/stream?id=09024abd921da077&amp;inline=true" xr:uid="{7ABFDC83-DF35-463B-927A-1AE8DCC4A19F}"/>
    <hyperlink ref="B53" r:id="rId50" display="https://sgdoc.codelco.cl/sgdoc-mobile/stream?id=09024abd93d9f4ac&amp;inline=true" xr:uid="{9B8D1AA4-6B4F-405F-9301-0B715138475E}"/>
    <hyperlink ref="B54" r:id="rId51" display="https://sgdoc.codelco.cl/sgdoc-mobile/stream?id=09024abd93d9f56d&amp;inline=true" xr:uid="{C83F1839-8ED9-4A41-80A2-6DE83D9813F5}"/>
    <hyperlink ref="B55" r:id="rId52" display="https://sgdoc.codelco.cl/sgdoc-mobile/stream?id=09024abd93d9fe2b&amp;inline=true" xr:uid="{0399539C-FEF1-4824-B631-6E7821522B2A}"/>
    <hyperlink ref="B56" r:id="rId53" display="https://sgdoc.codelco.cl/sgdoc-mobile/stream?id=09024abd93d9fcfb&amp;inline=true" xr:uid="{CDE0A505-08A8-47D1-A9F7-AEC1A375FF0E}"/>
    <hyperlink ref="B57" r:id="rId54" display="https://sgdoc.codelco.cl/sgdoc-mobile/stream?id=09024abd93d9fda5&amp;inline=true" xr:uid="{F9C926B3-10A0-48E9-91AC-439CA953CA78}"/>
    <hyperlink ref="B58" r:id="rId55" display="https://sgdoc.codelco.cl/sgdoc-mobile/stream?id=09024abd942bb4ca&amp;inline=true" xr:uid="{5642D769-E310-4612-8344-F08D1D0A3B59}"/>
    <hyperlink ref="B59" r:id="rId56" display="https://sgdoc.codelco.cl/sgdoc-mobile/stream?id=09024abd942bb673&amp;inline=true" xr:uid="{76A5915B-07B5-40AD-A23B-69E484F6459C}"/>
    <hyperlink ref="B60" r:id="rId57" display="https://sgdoc.codelco.cl/sgdoc-mobile/stream?id=09024abd92feb015&amp;inline=true" xr:uid="{52C89799-2192-4AB1-8464-E24BEE73D0E5}"/>
    <hyperlink ref="B61" r:id="rId58" display="https://sgdoc.codelco.cl/sgdoc-mobile/stream?id=09024abd9390e189&amp;inline=true" xr:uid="{EE5B87C9-06F9-4753-AABE-2C217406F4C0}"/>
    <hyperlink ref="B62" r:id="rId59" display="https://sgdoc.codelco.cl/sgdoc-mobile/stream?id=09024abd9390e19a&amp;inline=true" xr:uid="{35F6BD1B-C528-446A-811A-5DF8376767B3}"/>
    <hyperlink ref="B63" r:id="rId60" display="https://sgdoc.codelco.cl/sgdoc-mobile/stream?id=09024abd9390e1b2&amp;inline=true" xr:uid="{9E5AB15E-F308-465D-A936-CECF69A69511}"/>
    <hyperlink ref="B64" r:id="rId61" display="https://sgdoc.codelco.cl/sgdoc-mobile/stream?id=09024abd9390e224&amp;inline=true" xr:uid="{8D6BEBF5-AC21-4DB9-8AD0-E20C9F442E74}"/>
    <hyperlink ref="B65" r:id="rId62" display="https://sgdoc.codelco.cl/sgdoc-mobile/stream?id=09024abd9390e243&amp;inline=true" xr:uid="{1A76723B-6F4F-45E0-BBF1-1BD3A01F3D8F}"/>
    <hyperlink ref="B66" r:id="rId63" display="https://sgdoc.codelco.cl/sgdoc-mobile/stream?id=09024abd9390e255&amp;inline=true" xr:uid="{E9E7BE14-B41F-4EDD-AF36-8A1B70689597}"/>
    <hyperlink ref="B67" r:id="rId64" display="https://sgdoc.codelco.cl/sgdoc-mobile/stream?id=09024abd92d9987d&amp;inline=true" xr:uid="{AB84A470-6825-48BE-80A2-1DBAE6B95957}"/>
    <hyperlink ref="B68" r:id="rId65" display="https://sgdoc.codelco.cl/sgdoc-mobile/stream?id=09024abd93aba101&amp;inline=true" xr:uid="{AA69D05C-E7DA-4A50-A2D5-F84A8F0606D8}"/>
    <hyperlink ref="B69" r:id="rId66" display="https://sgdoc.codelco.cl/sgdoc-mobile/stream?id=09024abd946a71de&amp;inline=true" xr:uid="{1C2DC34E-F174-4B82-B5CB-99FCB612CFFC}"/>
    <hyperlink ref="B70" r:id="rId67" display="https://sgdoc.codelco.cl/sgdoc-mobile/stream?id=09024abd93aba126&amp;inline=true" xr:uid="{5EF707CE-B920-4F22-9499-E17BB193BB5F}"/>
    <hyperlink ref="B71" r:id="rId68" display="https://sgdoc.codelco.cl/sgdoc-mobile/stream?id=09024abd946b1d9c&amp;inline=true" xr:uid="{A32D3479-6895-43C3-8B62-BE66D88ADED1}"/>
    <hyperlink ref="B72" r:id="rId69" display="https://sgdoc.codelco.cl/sgdoc-mobile/stream?id=09024abd946b213d&amp;inline=true" xr:uid="{706D9115-962C-4B55-8E6C-8D2D82EF3D1C}"/>
    <hyperlink ref="B73" r:id="rId70" display="https://sgdoc.codelco.cl/sgdoc-mobile/stream?id=09024abd946b21fd&amp;inline=true" xr:uid="{326C4663-CE20-400F-A2D4-E776E61B149B}"/>
    <hyperlink ref="B74" r:id="rId71" display="https://sgdoc.codelco.cl/sgdoc-mobile/stream?id=09024abd946b255b&amp;inline=true" xr:uid="{45186DCC-1E39-4533-9718-2E575A843B7F}"/>
    <hyperlink ref="B75" r:id="rId72" display="https://sgdoc.codelco.cl/sgdoc-mobile/stream?id=09024abd93447a87&amp;inline=true" xr:uid="{02CBB698-D5AD-42F3-BB5B-D88BD6FF21B2}"/>
    <hyperlink ref="B76" r:id="rId73" display="https://sgdoc.codelco.cl/sgdoc-mobile/stream?id=09024abd93447a8b&amp;inline=true" xr:uid="{488B2D4A-B875-452A-A65A-EB24F598A6F7}"/>
    <hyperlink ref="B77" r:id="rId74" display="https://sgdoc.codelco.cl/sgdoc-mobile/stream?id=09024abd93447a97&amp;inline=true" xr:uid="{CA860C57-8751-4CA3-95C2-E0339134004E}"/>
    <hyperlink ref="B78" r:id="rId75" display="https://sgdoc.codelco.cl/sgdoc-mobile/stream?id=09024abd93447a9d&amp;inline=true" xr:uid="{9223C0A8-F0CE-49D1-984E-9CC5590338E3}"/>
    <hyperlink ref="B79" r:id="rId76" display="https://sgdoc.codelco.cl/sgdoc-mobile/stream?id=09024abd939750ee&amp;inline=true" xr:uid="{A241DB71-C61B-4AF4-B4AF-C1D1C4BA2E7E}"/>
    <hyperlink ref="B80" r:id="rId77" display="https://sgdoc.codelco.cl/sgdoc-mobile/stream?id=09024abd94e92c64&amp;inline=true" xr:uid="{4DB4A71C-BA39-4479-90C5-8E4CE7730E7C}"/>
    <hyperlink ref="B81" r:id="rId78" display="https://sgdoc.codelco.cl/sgdoc-mobile/stream?id=09024abd946b091a&amp;inline=true" xr:uid="{5658DF89-E0DA-47B8-8E6D-31A87B7371B6}"/>
    <hyperlink ref="B82" r:id="rId79" display="https://sgdoc.codelco.cl/sgdoc-mobile/stream?id=09024abd946b2628&amp;inline=true" xr:uid="{64D37C1F-65E2-47E5-8E23-04D04DA4C845}"/>
    <hyperlink ref="B83" r:id="rId80" display="https://sgdoc.codelco.cl/sgdoc-mobile/stream?id=09024abd922725c5&amp;inline=true" xr:uid="{DA757DE3-FDB1-4B2C-9825-18F808E47C1E}"/>
    <hyperlink ref="B84" r:id="rId81" display="https://sgdoc.codelco.cl/sgdoc-mobile/stream?id=09024abd92048eca&amp;inline=true" xr:uid="{B58754A9-6D43-4491-AA95-EEFCA9E9A0A7}"/>
    <hyperlink ref="B85" r:id="rId82" display="https://sgdoc.codelco.cl/sgdoc-mobile/stream?id=09024abd92048ffd&amp;inline=true" xr:uid="{86104077-B8DA-4291-AD8E-FF1CDD43A61B}"/>
    <hyperlink ref="B86" r:id="rId83" display="https://sgdoc.codelco.cl/sgdoc-mobile/stream?id=09024abd93f52a1b&amp;inline=true" xr:uid="{62701C4B-8E7D-4184-AAEB-9243662D4CC7}"/>
    <hyperlink ref="B87" r:id="rId84" display="https://sgdoc.codelco.cl/sgdoc-mobile/stream?id=09024abd94fbe72f&amp;inline=true" xr:uid="{C53E2A3A-2BEE-4E12-98FC-458028FF8474}"/>
    <hyperlink ref="B88" r:id="rId85" display="https://sgdoc.codelco.cl/sgdoc-mobile/stream?id=09024abd94f88fb9&amp;inline=true" xr:uid="{20B3DBDB-6346-45B1-AE08-FE381122E745}"/>
    <hyperlink ref="B89" r:id="rId86" display="https://sgdoc.codelco.cl/sgdoc-mobile/stream?id=09024abd94f89357&amp;inline=true" xr:uid="{4B5E91E5-4914-4B54-A8E2-4C951C5F3DF9}"/>
    <hyperlink ref="B90" r:id="rId87" display="https://sgdoc.codelco.cl/sgdoc-mobile/stream?id=09024abd94f89929&amp;inline=true" xr:uid="{97F65089-19AD-455F-B278-0FAD314BC9C5}"/>
    <hyperlink ref="B91" r:id="rId88" display="https://sgdoc.codelco.cl/sgdoc-mobile/stream?id=09024abd94f8947b&amp;inline=true" xr:uid="{BE4BAA84-9F26-492A-A816-2B3E5604A4BB}"/>
    <hyperlink ref="B92" r:id="rId89" display="https://sgdoc.codelco.cl/sgdoc-mobile/stream?id=09024abd96cad091&amp;inline=true" xr:uid="{ABDA8963-4D3D-4599-8AE1-D854C36AD071}"/>
    <hyperlink ref="B93" r:id="rId90" display="https://sgdoc.codelco.cl/sgdoc-mobile/stream?id=09024abd944704a2&amp;inline=true" xr:uid="{1E2624B4-DFD7-44AA-9208-EAA85F80B89D}"/>
    <hyperlink ref="B94" r:id="rId91" display="https://sgdoc.codelco.cl/sgdoc-mobile/stream?id=09024abd95043acc&amp;inline=true" xr:uid="{C08BF060-313D-4EF2-95CF-A74A46418EC1}"/>
    <hyperlink ref="B95" r:id="rId92" display="https://sgdoc.codelco.cl/sgdoc-mobile/stream?id=09024abd9447065b&amp;inline=true" xr:uid="{59372E61-69CB-419D-B7F8-756479365C56}"/>
    <hyperlink ref="B96" r:id="rId93" display="https://sgdoc.codelco.cl/sgdoc-mobile/stream?id=09024abd946b12d8&amp;inline=true" xr:uid="{8C66E0BC-F343-4D40-97CF-CED6BA116014}"/>
    <hyperlink ref="B97" r:id="rId94" display="https://sgdoc.codelco.cl/sgdoc-mobile/stream?id=09024abd946b272b&amp;inline=true" xr:uid="{8D46439A-895C-4A69-8B11-25036C5A3FAA}"/>
    <hyperlink ref="B98" r:id="rId95" display="https://sgdoc.codelco.cl/sgdoc-mobile/stream?id=09024abd941c0670&amp;inline=true" xr:uid="{024C8554-CAB4-4A4B-B3A3-3E4AC94E5075}"/>
    <hyperlink ref="B99" r:id="rId96" display="https://sgdoc.codelco.cl/sgdoc-mobile/stream?id=09024abd951d5439&amp;inline=true" xr:uid="{ACC183C7-8A2C-46B2-95C8-A312606EA254}"/>
    <hyperlink ref="B100" r:id="rId97" display="https://sgdoc.codelco.cl/sgdoc-mobile/stream?id=09024abd93ec0b1e&amp;inline=true" xr:uid="{B7FCFB3A-F39F-4CFB-8451-43847F032B3F}"/>
    <hyperlink ref="B101" r:id="rId98" display="https://sgdoc.codelco.cl/sgdoc-mobile/stream?id=09024abd956680ed&amp;inline=true" xr:uid="{1ADDF02F-B19C-4275-AA6A-62B65AC474B5}"/>
    <hyperlink ref="B102" r:id="rId99" display="https://sgdoc.codelco.cl/sgdoc-mobile/stream?id=09024abd93ec1bc4&amp;inline=true" xr:uid="{7195E605-C2B1-489C-AD49-A61E9B2F42AA}"/>
    <hyperlink ref="B103" r:id="rId100" display="https://sgdoc.codelco.cl/sgdoc-mobile/stream?id=09024abd944743c5&amp;inline=true" xr:uid="{30DA1676-B0C3-4DB9-8F6F-A7AE3177F692}"/>
    <hyperlink ref="B104" r:id="rId101" display="https://sgdoc.codelco.cl/sgdoc-mobile/stream?id=09024abd93ec6ab1&amp;inline=true" xr:uid="{E12700A1-70B1-492A-BDBC-D0D4B623B6C8}"/>
    <hyperlink ref="B105" r:id="rId102" display="https://sgdoc.codelco.cl/sgdoc-mobile/stream?id=09024abd944e68c2&amp;inline=true" xr:uid="{3785CA82-C31C-4508-92CE-F8B3D1F8794A}"/>
    <hyperlink ref="B106" r:id="rId103" display="https://sgdoc.codelco.cl/sgdoc-mobile/stream?id=09024abd94ba3ee6&amp;inline=true" xr:uid="{88BF1019-7FF7-4F5C-8E6C-FF51B9AE07FB}"/>
    <hyperlink ref="B107" r:id="rId104" display="https://sgdoc.codelco.cl/sgdoc-mobile/stream?id=09024abd946b7246&amp;inline=true" xr:uid="{E54D12BA-9DF5-478A-BCB9-9ECC3F52661D}"/>
    <hyperlink ref="B108" r:id="rId105" display="https://sgdoc.codelco.cl/sgdoc-mobile/stream?id=09024abd946b74be&amp;inline=true" xr:uid="{F9C5D448-017F-46E6-AFB2-47BB25DC9DC7}"/>
    <hyperlink ref="B109" r:id="rId106" display="https://sgdoc.codelco.cl/sgdoc-mobile/stream?id=09024abd946b79e1&amp;inline=true" xr:uid="{B9CE5C58-D105-4EBB-A2C9-F65072FF2020}"/>
    <hyperlink ref="B110" r:id="rId107" display="https://sgdoc.codelco.cl/sgdoc-mobile/stream?id=09024abd946b7ba2&amp;inline=true" xr:uid="{46107797-9FE9-4AB6-BB0A-DC3F8B7BEAED}"/>
    <hyperlink ref="B111" r:id="rId108" display="https://sgdoc.codelco.cl/sgdoc-mobile/stream?id=09024abd946b7fa4&amp;inline=true" xr:uid="{18583598-8CAE-4799-B200-880371D87E28}"/>
    <hyperlink ref="B112" r:id="rId109" display="https://sgdoc.codelco.cl/sgdoc-mobile/stream?id=09024abd9679994c&amp;inline=true" xr:uid="{BB193DEE-7F27-46E6-AC5A-160FEEE216A1}"/>
    <hyperlink ref="B113" r:id="rId110" display="https://sgdoc.codelco.cl/sgdoc-mobile/stream?id=09024abd946b8864&amp;inline=true" xr:uid="{BF275F69-CA83-412C-9907-1F24EFB66A3E}"/>
    <hyperlink ref="B114" r:id="rId111" display="https://sgdoc.codelco.cl/sgdoc-mobile/stream?id=09024abd93ec7073&amp;inline=true" xr:uid="{032EB26A-FC07-4C3F-AFCE-99280B20EF18}"/>
    <hyperlink ref="B115" r:id="rId112" display="https://sgdoc.codelco.cl/sgdoc-mobile/stream?id=09024abd94ad12da&amp;inline=true" xr:uid="{E460C1A2-EE5E-4695-9304-0D6C1A25E39B}"/>
    <hyperlink ref="B116" r:id="rId113" display="https://sgdoc.codelco.cl/sgdoc-mobile/stream?id=09024abd9504519a&amp;inline=true" xr:uid="{4A9720AB-245E-40E2-80A8-EE6B778E734F}"/>
    <hyperlink ref="B117" r:id="rId114" display="https://sgdoc.codelco.cl/sgdoc-mobile/stream?id=09024abd93f52ad5&amp;inline=true" xr:uid="{BAA3C1D7-6DFE-45BD-A028-09AED83B2A04}"/>
    <hyperlink ref="B118" r:id="rId115" display="https://sgdoc.codelco.cl/sgdoc-mobile/stream?id=09024abd932ed745&amp;inline=true" xr:uid="{E234E7AB-1BCB-4A4F-AF55-A8A96E04C2C4}"/>
    <hyperlink ref="B119" r:id="rId116" display="https://sgdoc.codelco.cl/sgdoc-mobile/stream?id=09024abd93cc72d3&amp;inline=true" xr:uid="{3B7B3D26-521D-472D-9010-39B4428B6578}"/>
    <hyperlink ref="B120" r:id="rId117" display="https://sgdoc.codelco.cl/sgdoc-mobile/stream?id=09024abd93cc7412&amp;inline=true" xr:uid="{6572AE48-4D0F-4BFC-94C1-EA6B8F6C3DE3}"/>
    <hyperlink ref="B121" r:id="rId118" display="https://sgdoc.codelco.cl/sgdoc-mobile/stream?id=09024abd93cc75a5&amp;inline=true" xr:uid="{D8F4BC3F-F12C-4295-80D5-2632F6333B7B}"/>
    <hyperlink ref="B122" r:id="rId119" display="https://sgdoc.codelco.cl/sgdoc-mobile/stream?id=09024abd93cc76a0&amp;inline=true" xr:uid="{169F8ECA-EAEE-4D2D-ADE6-FCC2E9BED044}"/>
    <hyperlink ref="B123" r:id="rId120" display="https://sgdoc.codelco.cl/sgdoc-mobile/stream?id=09024abd93cc77eb&amp;inline=true" xr:uid="{C744BFC7-ED2D-4B09-AA89-A0AFA9CAA560}"/>
    <hyperlink ref="B124" r:id="rId121" display="https://sgdoc.codelco.cl/sgdoc-mobile/stream?id=09024abd93cc7aaa&amp;inline=true" xr:uid="{6EAD5100-BBB9-41CF-B1B5-0C3028C20DB2}"/>
    <hyperlink ref="B125" r:id="rId122" display="https://sgdoc.codelco.cl/sgdoc-mobile/stream?id=09024abd93cc7b9a&amp;inline=true" xr:uid="{CF9A374A-9985-4A7D-9189-5D58DE5FCC95}"/>
    <hyperlink ref="B126" r:id="rId123" display="https://sgdoc.codelco.cl/sgdoc-mobile/stream?id=09024abd93ccb2ff&amp;inline=true" xr:uid="{1AA2AF94-C558-4528-A4F6-1118A19C2EE5}"/>
    <hyperlink ref="B127" r:id="rId124" display="https://sgdoc.codelco.cl/sgdoc-mobile/stream?id=09024abd93ccb3e7&amp;inline=true" xr:uid="{17ABED57-E971-4BB9-974B-35D0FD5C2570}"/>
    <hyperlink ref="B128" r:id="rId125" display="https://sgdoc.codelco.cl/sgdoc-mobile/stream?id=09024abd93ccb517&amp;inline=true" xr:uid="{421F7006-8348-485F-BA24-8E056D45E046}"/>
    <hyperlink ref="B129" r:id="rId126" display="https://sgdoc.codelco.cl/sgdoc-mobile/stream?id=09024abd93ccb78e&amp;inline=true" xr:uid="{3069E492-3849-4703-A84F-77AC2F3034CC}"/>
    <hyperlink ref="B130" r:id="rId127" display="https://sgdoc.codelco.cl/sgdoc-mobile/stream?id=09024abd944710a7&amp;inline=true" xr:uid="{B846978F-64DE-4979-86B6-64DF56DCC44B}"/>
    <hyperlink ref="B131" r:id="rId128" display="https://sgdoc.codelco.cl/sgdoc-mobile/stream?id=09024abd9447126b&amp;inline=true" xr:uid="{082BDF11-E08E-40E0-B98A-68FBEECAE7C4}"/>
    <hyperlink ref="B132" r:id="rId129" display="https://sgdoc.codelco.cl/sgdoc-mobile/stream?id=09024abd94471377&amp;inline=true" xr:uid="{F2F20FE2-8BDA-4E84-9056-84AD11E52489}"/>
    <hyperlink ref="B133" r:id="rId130" display="https://sgdoc.codelco.cl/sgdoc-mobile/stream?id=09024abd93aba138&amp;inline=true" xr:uid="{703F20F9-97A1-47DC-9DBE-53067AD5EF80}"/>
    <hyperlink ref="B134" r:id="rId131" display="https://sgdoc.codelco.cl/sgdoc-mobile/stream?id=09024abd93aba149&amp;inline=true" xr:uid="{FE5BF705-E145-4EB3-9CE0-9B35433C04B3}"/>
    <hyperlink ref="B135" r:id="rId132" display="https://sgdoc.codelco.cl/sgdoc-mobile/stream?id=09024abd93aba14f&amp;inline=true" xr:uid="{3932E1CD-F21C-4D8B-BC79-FE99B58F97EB}"/>
    <hyperlink ref="B136" r:id="rId133" display="https://sgdoc.codelco.cl/sgdoc-mobile/stream?id=09024abd93c7c0df&amp;inline=true" xr:uid="{DD948853-DB11-451A-9A12-754395865B47}"/>
    <hyperlink ref="B137" r:id="rId134" display="https://sgdoc.codelco.cl/sgdoc-mobile/stream?id=09024abd946a857c&amp;inline=true" xr:uid="{40CCB492-E0FA-40D2-B7FD-D505814114F2}"/>
    <hyperlink ref="B138" r:id="rId135" display="https://sgdoc.codelco.cl/sgdoc-mobile/stream?id=09024abd94c60f0e&amp;inline=true" xr:uid="{1FB1A006-5F47-4ED2-950D-837E841B0226}"/>
    <hyperlink ref="B139" r:id="rId136" display="https://sgdoc.codelco.cl/sgdoc-mobile/stream?id=09024abd946aaf1a&amp;inline=true" xr:uid="{4E573DAB-F49B-40A4-81CB-2091F7E28775}"/>
    <hyperlink ref="B140" r:id="rId137" display="https://sgdoc.codelco.cl/sgdoc-mobile/stream?id=09024abd94c610c0&amp;inline=true" xr:uid="{727AFB55-3C33-4DC8-8CFA-BEFC2CCD1DAF}"/>
    <hyperlink ref="B141" r:id="rId138" display="https://sgdoc.codelco.cl/sgdoc-mobile/stream?id=09024abd946ab365&amp;inline=true" xr:uid="{C2F40C57-B868-41B9-A32B-CA69B56B32B2}"/>
    <hyperlink ref="B142" r:id="rId139" display="https://sgdoc.codelco.cl/sgdoc-mobile/stream?id=09024abd946abaf5&amp;inline=true" xr:uid="{34FA1076-A135-46F0-9CF8-CAB3A1B6538E}"/>
    <hyperlink ref="B143" r:id="rId140" display="https://sgdoc.codelco.cl/sgdoc-mobile/stream?id=09024abd946aa6cb&amp;inline=true" xr:uid="{546AAD59-E867-43E1-AC47-2BCFFDC57742}"/>
    <hyperlink ref="B144" r:id="rId141" display="https://sgdoc.codelco.cl/sgdoc-mobile/stream?id=09024abd946abcad&amp;inline=true" xr:uid="{9431CD94-0785-42D1-949C-EFF2BA660DC4}"/>
    <hyperlink ref="B145" r:id="rId142" display="https://sgdoc.codelco.cl/sgdoc-mobile/stream?id=09024abd946abfb6&amp;inline=true" xr:uid="{CD505424-6B85-430C-AF8D-E8AE7B18DF10}"/>
    <hyperlink ref="B146" r:id="rId143" display="https://sgdoc.codelco.cl/sgdoc-mobile/stream?id=09024abd946ac7c6&amp;inline=true" xr:uid="{770A8655-5138-4282-BE45-BC5A77F63955}"/>
    <hyperlink ref="B147" r:id="rId144" display="https://sgdoc.codelco.cl/sgdoc-mobile/stream?id=09024abd946acba8&amp;inline=true" xr:uid="{428082EC-E1CE-428B-9425-7258D0D81220}"/>
    <hyperlink ref="B148" r:id="rId145" display="https://sgdoc.codelco.cl/sgdoc-mobile/stream?id=09024abd946acd59&amp;inline=true" xr:uid="{652CF62B-E432-43C7-B4D3-7872F35A990F}"/>
    <hyperlink ref="B149" r:id="rId146" display="https://sgdoc.codelco.cl/sgdoc-mobile/stream?id=09024abd946acfc9&amp;inline=true" xr:uid="{BD2BAABC-73FC-4839-8FC9-535809F1598F}"/>
    <hyperlink ref="B150" r:id="rId147" display="https://sgdoc.codelco.cl/sgdoc-mobile/stream?id=09024abd946ad1fa&amp;inline=true" xr:uid="{406CACD5-5000-4B7B-8F27-6F500BDA8EEE}"/>
    <hyperlink ref="B151" r:id="rId148" display="https://sgdoc.codelco.cl/sgdoc-mobile/stream?id=09024abd946ad969&amp;inline=true" xr:uid="{C91D24E2-0122-4ACB-8AEA-F60E1CADFA7C}"/>
    <hyperlink ref="B152" r:id="rId149" display="https://sgdoc.codelco.cl/sgdoc-mobile/stream?id=09024abd946adbc9&amp;inline=true" xr:uid="{F98259A0-0B77-4A29-9D02-228258AA2BA0}"/>
    <hyperlink ref="B153" r:id="rId150" display="https://sgdoc.codelco.cl/sgdoc-mobile/stream?id=09024abd946adfed&amp;inline=true" xr:uid="{E4356E16-3FF3-42BE-A403-9331EBAF7C66}"/>
    <hyperlink ref="B154" r:id="rId151" display="https://sgdoc.codelco.cl/sgdoc-mobile/stream?id=09024abd947eef6a&amp;inline=true" xr:uid="{08FDB2CA-32FC-4C76-8853-F55C7C44CD7F}"/>
    <hyperlink ref="B155" r:id="rId152" display="https://sgdoc.codelco.cl/sgdoc-mobile/stream?id=09024abd947ef159&amp;inline=true" xr:uid="{B0863DB1-AE8B-4757-BD81-C01D135A1C24}"/>
    <hyperlink ref="B156" r:id="rId153" display="https://sgdoc.codelco.cl/sgdoc-mobile/stream?id=09024abd947ef346&amp;inline=true" xr:uid="{49556F02-D534-4F4F-94FA-CED65D08EDE0}"/>
    <hyperlink ref="B157" r:id="rId154" display="https://sgdoc.codelco.cl/sgdoc-mobile/stream?id=09024abd940a031d&amp;inline=true" xr:uid="{0A0E3F90-13E9-48AA-8B57-433383C31C48}"/>
    <hyperlink ref="B158" r:id="rId155" display="https://sgdoc.codelco.cl/sgdoc-mobile/stream?id=09024abd94c619a6&amp;inline=true" xr:uid="{C9DEF97C-4F20-46D2-94F4-686664745515}"/>
    <hyperlink ref="B159" r:id="rId156" display="https://sgdoc.codelco.cl/sgdoc-mobile/stream?id=09024abd92d64a3f&amp;inline=true" xr:uid="{06A3C052-7D3C-4A15-AB5B-A476694342A2}"/>
    <hyperlink ref="B160" r:id="rId157" display="https://sgdoc.codelco.cl/sgdoc-mobile/stream?id=09024abd92d64b40&amp;inline=true" xr:uid="{65F3140D-F5B9-4DDE-B0EF-59EE2325CFAF}"/>
    <hyperlink ref="B161" r:id="rId158" display="https://sgdoc.codelco.cl/sgdoc-mobile/stream?id=09024abd92a6c495&amp;inline=true" xr:uid="{A07C83C0-417C-4D7F-B7B5-159B8C76C176}"/>
    <hyperlink ref="B162" r:id="rId159" display="https://sgdoc.codelco.cl/sgdoc-mobile/stream?id=09024abd93299f4d&amp;inline=true" xr:uid="{F4703CB2-680A-41BB-9C11-EC40918357CB}"/>
    <hyperlink ref="B163" r:id="rId160" display="https://sgdoc.codelco.cl/sgdoc-mobile/stream?id=09024abd931c42fe&amp;inline=true" xr:uid="{153520EF-F6AD-4757-9E17-5EC94643C6C1}"/>
    <hyperlink ref="B164" r:id="rId161" display="https://sgdoc.codelco.cl/sgdoc-mobile/stream?id=09024abd94474470&amp;inline=true" xr:uid="{9C452A81-C7CA-4488-A380-8BE5D32678A7}"/>
    <hyperlink ref="B165" r:id="rId162" display="https://sgdoc.codelco.cl/sgdoc-mobile/stream?id=09024abd944744a2&amp;inline=true" xr:uid="{A81486CA-0DAA-4C3D-AF3B-4D1DAB168788}"/>
    <hyperlink ref="B166" r:id="rId163" display="https://sgdoc.codelco.cl/sgdoc-mobile/stream?id=09024abd944744e9&amp;inline=true" xr:uid="{811EA944-3282-430C-BD66-C981ADDA32E7}"/>
    <hyperlink ref="B167" r:id="rId164" display="https://sgdoc.codelco.cl/sgdoc-mobile/stream?id=09024abd94474548&amp;inline=true" xr:uid="{7E8897B1-CAFA-4D27-8208-A7929A68654D}"/>
    <hyperlink ref="B168" r:id="rId165" display="https://sgdoc.codelco.cl/sgdoc-mobile/stream?id=09024abd944745be&amp;inline=true" xr:uid="{89EF166D-D699-4ADF-857C-67A54E68D088}"/>
    <hyperlink ref="B169" r:id="rId166" display="https://sgdoc.codelco.cl/sgdoc-mobile/stream?id=09024abd96799b63&amp;inline=true" xr:uid="{123EF6AC-7CF0-499C-944A-62DF1006164A}"/>
    <hyperlink ref="B170" r:id="rId167" display="https://sgdoc.codelco.cl/sgdoc-mobile/stream?id=09024abd93447aa9&amp;inline=true" xr:uid="{1397A9CA-07A4-425E-A96F-EF3C90700AC5}"/>
    <hyperlink ref="B171" r:id="rId168" display="https://sgdoc.codelco.cl/sgdoc-mobile/stream?id=09024abd93447ab6&amp;inline=true" xr:uid="{64C63157-B8EA-468F-A694-66A9596FE4EA}"/>
    <hyperlink ref="B172" r:id="rId169" display="https://sgdoc.codelco.cl/sgdoc-mobile/stream?id=09024abd93447ab9&amp;inline=true" xr:uid="{FDAAB7BB-94C5-42EA-99DB-4B620532DEFD}"/>
    <hyperlink ref="B173" r:id="rId170" display="https://sgdoc.codelco.cl/sgdoc-mobile/stream?id=09024abd93447abd&amp;inline=true" xr:uid="{B007AFB3-55F1-4379-9AE0-19E275D3BC64}"/>
    <hyperlink ref="B174" r:id="rId171" display="https://sgdoc.codelco.cl/sgdoc-mobile/stream?id=09024abd93447ac3&amp;inline=true" xr:uid="{D3FBE90F-C7BB-4FBA-B3CC-60B5EC63E130}"/>
    <hyperlink ref="B175" r:id="rId172" display="https://sgdoc.codelco.cl/sgdoc-mobile/stream?id=09024abd9344864e&amp;inline=true" xr:uid="{A82B8EEF-86CC-4E25-82F7-A2858E69B5D3}"/>
    <hyperlink ref="B176" r:id="rId173" display="https://sgdoc.codelco.cl/sgdoc-mobile/stream?id=09024abd939761d0&amp;inline=true" xr:uid="{80EFCBD1-63FE-49A8-8E1F-B045ACAB858B}"/>
    <hyperlink ref="B177" r:id="rId174" display="https://sgdoc.codelco.cl/sgdoc-mobile/stream?id=09024abd96799cbc&amp;inline=true" xr:uid="{87581963-48CA-44EA-BADB-E8CDA086C6DE}"/>
    <hyperlink ref="B178" r:id="rId175" display="https://sgdoc.codelco.cl/sgdoc-mobile/stream?id=09024abd93ee92b4&amp;inline=true" xr:uid="{2E70B308-1051-4931-98ED-E650AC643C59}"/>
    <hyperlink ref="B179" r:id="rId176" display="https://sgdoc.codelco.cl/sgdoc-mobile/stream?id=09024abd94c6b79f&amp;inline=true" xr:uid="{F68DE38B-6F9C-46F2-AC93-1E12D2069157}"/>
    <hyperlink ref="B180" r:id="rId177" display="https://sgdoc.codelco.cl/sgdoc-mobile/stream?id=09024abd94c6bf4b&amp;inline=true" xr:uid="{A8DFD7FA-FDC9-4776-A405-D221E571C72C}"/>
    <hyperlink ref="B181" r:id="rId178" display="https://sgdoc.codelco.cl/sgdoc-mobile/stream?id=09024abd94c6c49a&amp;inline=true" xr:uid="{B483F1BF-B62F-49F2-81E8-02899DC04C8A}"/>
    <hyperlink ref="B182" r:id="rId179" display="https://sgdoc.codelco.cl/sgdoc-mobile/stream?id=09024abd94c6c594&amp;inline=true" xr:uid="{0C873343-D0E5-4491-9847-40AFE044B8E4}"/>
    <hyperlink ref="B183" r:id="rId180" display="https://sgdoc.codelco.cl/sgdoc-mobile/stream?id=09024abd94c6cd11&amp;inline=true" xr:uid="{52DBD858-0C9C-4D70-AD42-2FA546F06317}"/>
    <hyperlink ref="B184" r:id="rId181" display="https://sgdoc.codelco.cl/sgdoc-mobile/stream?id=09024abd94c6d01c&amp;inline=true" xr:uid="{A4A2062E-A870-4508-A987-0E065AB326C7}"/>
    <hyperlink ref="B185" r:id="rId182" display="https://sgdoc.codelco.cl/sgdoc-mobile/stream?id=09024abd94c6d243&amp;inline=true" xr:uid="{575DA88D-0E8A-4C83-A55B-FBC29C151187}"/>
    <hyperlink ref="B186" r:id="rId183" display="https://sgdoc.codelco.cl/sgdoc-mobile/stream?id=09024abd94c6d31f&amp;inline=true" xr:uid="{73DA8B41-14B8-41F0-8EA8-EDDB6FF10AE3}"/>
    <hyperlink ref="B187" r:id="rId184" display="https://sgdoc.codelco.cl/sgdoc-mobile/stream?id=09024abd94c6d423&amp;inline=true" xr:uid="{9499471C-8459-4EF6-948B-3FCB7E448143}"/>
    <hyperlink ref="B188" r:id="rId185" display="https://sgdoc.codelco.cl/sgdoc-mobile/stream?id=09024abd954479fa&amp;inline=true" xr:uid="{D3380B76-7E0B-49F0-9B57-880634890A9E}"/>
    <hyperlink ref="B189" r:id="rId186" display="https://sgdoc.codelco.cl/sgdoc-mobile/stream?id=09024abd94c6dd30&amp;inline=true" xr:uid="{03F20123-417F-4A6C-AE1A-06F3740A9200}"/>
    <hyperlink ref="B190" r:id="rId187" display="https://sgdoc.codelco.cl/sgdoc-mobile/stream?id=09024abd94f8d2f4&amp;inline=true" xr:uid="{FA0332F3-5F79-4FA4-AEC8-6A42F8557D6F}"/>
    <hyperlink ref="B191" r:id="rId188" display="https://sgdoc.codelco.cl/sgdoc-mobile/stream?id=09024abd935bbd90&amp;inline=true" xr:uid="{F4BB5765-FF28-4573-8020-019AD4CDE388}"/>
    <hyperlink ref="B192" r:id="rId189" display="https://sgdoc.codelco.cl/sgdoc-mobile/stream?id=09024abd92d99f60&amp;inline=true" xr:uid="{524D30EC-B2A5-4F9D-B0A5-A553F38ACE67}"/>
    <hyperlink ref="B193" r:id="rId190" display="https://sgdoc.codelco.cl/sgdoc-mobile/stream?id=09024abd93db22d2&amp;inline=true" xr:uid="{737C817E-D29D-4839-84B0-DD6612D94279}"/>
    <hyperlink ref="B194" r:id="rId191" display="https://sgdoc.codelco.cl/sgdoc-mobile/stream?id=09024abd94b02a45&amp;inline=true" xr:uid="{42299399-F5C5-4E6A-BDB1-68748B4D0D4F}"/>
    <hyperlink ref="B195" r:id="rId192" display="https://sgdoc.codelco.cl/sgdoc-mobile/stream?id=09024abd93f4e4a9&amp;inline=true" xr:uid="{EDB2FAD6-4ABC-4434-9ECD-BB4E4B970B3C}"/>
    <hyperlink ref="B196" r:id="rId193" display="https://sgdoc.codelco.cl/sgdoc-mobile/stream?id=09024abd928d8a4d&amp;inline=true" xr:uid="{03DB4BF2-1728-47B4-9EEB-86FDDEF1DEA1}"/>
    <hyperlink ref="B197" r:id="rId194" display="https://sgdoc.codelco.cl/sgdoc-mobile/stream?id=09024abd927557a3&amp;inline=true" xr:uid="{BC6E8079-46FB-4EF2-94C8-4E9A5E2F96CD}"/>
    <hyperlink ref="B198" r:id="rId195" display="https://sgdoc.codelco.cl/sgdoc-mobile/stream?id=09024abd92756158&amp;inline=true" xr:uid="{3C8C5841-EF11-4408-8ECD-695004CF904E}"/>
    <hyperlink ref="B199" r:id="rId196" display="https://sgdoc.codelco.cl/sgdoc-mobile/stream?id=09024abd91e6a32b&amp;inline=true" xr:uid="{3C2D0D2D-CDF8-449B-9920-FE9A7080ABF9}"/>
    <hyperlink ref="B200" r:id="rId197" display="https://sgdoc.codelco.cl/sgdoc-mobile/stream?id=09024abd925458f7&amp;inline=true" xr:uid="{7FB05EB9-AC8B-4599-8BD3-5209B22D9D34}"/>
    <hyperlink ref="B201" r:id="rId198" display="https://sgdoc.codelco.cl/sgdoc-mobile/stream?id=09024abd92a69a69&amp;inline=true" xr:uid="{06F12244-3D39-4A5C-AD32-251C8F39D78E}"/>
    <hyperlink ref="B202" r:id="rId199" display="https://sgdoc.codelco.cl/sgdoc-mobile/stream?id=09024abd94f8b48b&amp;inline=true" xr:uid="{C5F98AA8-A034-4145-8B5D-B3D2C0906B03}"/>
    <hyperlink ref="B203" r:id="rId200" display="https://sgdoc.codelco.cl/sgdoc-mobile/stream?id=09024abd95447461&amp;inline=true" xr:uid="{183BD288-308D-4D23-B318-B929A0686667}"/>
    <hyperlink ref="B204" r:id="rId201" display="https://sgdoc.codelco.cl/sgdoc-mobile/stream?id=09024abd941bf73a&amp;inline=true" xr:uid="{7371AB8A-C976-4982-BB1E-36706A93A238}"/>
    <hyperlink ref="B205" r:id="rId202" display="https://sgdoc.codelco.cl/sgdoc-mobile/stream?id=09024abd91f35325&amp;inline=true" xr:uid="{85A2A56F-F61D-488C-8432-F7A51AE397BA}"/>
    <hyperlink ref="B206" r:id="rId203" display="https://sgdoc.codelco.cl/sgdoc-mobile/stream?id=09024abd92106b59&amp;inline=true" xr:uid="{8FEAF858-C13C-437D-B225-F449F922FF26}"/>
    <hyperlink ref="B207" r:id="rId204" display="https://sgdoc.codelco.cl/sgdoc-mobile/stream?id=09024abd920fb898&amp;inline=true" xr:uid="{6E2CB895-B513-4975-A5C1-4A753A2A0E81}"/>
    <hyperlink ref="B208" r:id="rId205" display="https://sgdoc.codelco.cl/sgdoc-mobile/stream?id=09024abd928e0fe7&amp;inline=true" xr:uid="{33D45ED6-61AC-40D3-8CD5-31DD7A942C46}"/>
    <hyperlink ref="B209" r:id="rId206" display="https://sgdoc.codelco.cl/sgdoc-mobile/stream?id=09024abd9410a123&amp;inline=true" xr:uid="{AC7FF235-327D-46A1-A8C1-2BD292935871}"/>
    <hyperlink ref="B210" r:id="rId207" display="https://sgdoc.codelco.cl/sgdoc-mobile/stream?id=09024abd9559380e&amp;inline=true" xr:uid="{A26BD16E-DE96-4064-903E-13CCB3445B55}"/>
    <hyperlink ref="B211" r:id="rId208" display="https://sgdoc.codelco.cl/sgdoc-mobile/stream?id=09024abd95596e07&amp;inline=true" xr:uid="{88968BEA-A929-4DC7-894E-91B543695639}"/>
    <hyperlink ref="B212" r:id="rId209" display="https://sgdoc.codelco.cl/sgdoc-mobile/stream?id=09024abd94f8ac2f&amp;inline=true" xr:uid="{AF974C18-EA95-4EAE-849A-0A156DFED23C}"/>
    <hyperlink ref="B213" r:id="rId210" display="https://sgdoc.codelco.cl/sgdoc-mobile/stream?id=09024abd9284a547&amp;inline=true" xr:uid="{9D2CD8F6-761C-4779-9755-A2608DC1111E}"/>
    <hyperlink ref="B214" r:id="rId211" display="https://sgdoc.codelco.cl/sgdoc-mobile/stream?id=09024abd92756229&amp;inline=true" xr:uid="{BECB5AA0-3EEC-4F22-8107-6A2EB64731EC}"/>
    <hyperlink ref="B215" r:id="rId212" display="https://sgdoc.codelco.cl/sgdoc-mobile/stream?id=09024abd9275630b&amp;inline=true" xr:uid="{724BB84B-7F59-4C3E-AA12-823CA6479746}"/>
    <hyperlink ref="B216" r:id="rId213" display="https://sgdoc.codelco.cl/sgdoc-mobile/stream?id=09024abd93ae63fd&amp;inline=true" xr:uid="{94B2E781-3EA8-4476-ABA8-5B676D1BDDB8}"/>
    <hyperlink ref="B217" r:id="rId214" display="https://sgdoc.codelco.cl/sgdoc-mobile/stream?id=09024abd93ae647e&amp;inline=true" xr:uid="{72EB601A-1284-45CB-A06F-94D8D0965F4C}"/>
    <hyperlink ref="B218" r:id="rId215" display="https://sgdoc.codelco.cl/sgdoc-mobile/stream?id=09024abd9312d9d6&amp;inline=true" xr:uid="{C4305AFE-4CF8-4CE8-AA3F-CA539600A04D}"/>
    <hyperlink ref="B219" r:id="rId216" display="https://sgdoc.codelco.cl/sgdoc-mobile/stream?id=09024abd92757096&amp;inline=true" xr:uid="{18AB3721-099F-474E-92E8-EA7A0E658C87}"/>
    <hyperlink ref="B220" r:id="rId217" display="https://sgdoc.codelco.cl/sgdoc-mobile/stream?id=09024abd920826a9&amp;inline=true" xr:uid="{61BC6049-5525-446A-9E7E-79CCB571065E}"/>
    <hyperlink ref="B221" r:id="rId218" display="https://sgdoc.codelco.cl/sgdoc-mobile/stream?id=09024abd929dc90c&amp;inline=true" xr:uid="{6263B9BF-3083-4BBB-A8EE-A0CD12100A78}"/>
    <hyperlink ref="B222" r:id="rId219" display="https://sgdoc.codelco.cl/sgdoc-mobile/stream?id=09024abd93d9e318&amp;inline=true" xr:uid="{2B613C3D-F3A2-470F-A4A3-2F96B8B31CE3}"/>
    <hyperlink ref="B223" r:id="rId220" display="https://sgdoc.codelco.cl/sgdoc-mobile/stream?id=09024abd94b098ea&amp;inline=true" xr:uid="{9B8FF391-927B-447E-A63D-76A8AE029D90}"/>
    <hyperlink ref="B224" r:id="rId221" display="https://sgdoc.codelco.cl/sgdoc-mobile/stream?id=09024abd932fabab&amp;inline=true" xr:uid="{1A6CA41E-EEB6-427F-94B3-ED9928792DB2}"/>
    <hyperlink ref="B225" r:id="rId222" display="https://sgdoc.codelco.cl/sgdoc-mobile/stream?id=09024abd92e26103&amp;inline=true" xr:uid="{2F84EB25-76BF-4C05-A90C-E1E0B59999CA}"/>
    <hyperlink ref="B226" r:id="rId223" display="https://sgdoc.codelco.cl/sgdoc-mobile/stream?id=09024abd93d9ede1&amp;inline=true" xr:uid="{14720891-05FA-4608-9F1B-B5DD3CD6007D}"/>
    <hyperlink ref="B227" r:id="rId224" display="https://sgdoc.codelco.cl/sgdoc-mobile/stream?id=09024abd927569f9&amp;inline=true" xr:uid="{5CA32673-4E1D-4EF6-9D2F-7494A9A68B6A}"/>
    <hyperlink ref="B228" r:id="rId225" display="https://sgdoc.codelco.cl/sgdoc-mobile/stream?id=09024abd93eb0f4a&amp;inline=true" xr:uid="{CF41CD99-E4FC-48D7-9575-45353E9311CE}"/>
    <hyperlink ref="B229" r:id="rId226" display="https://sgdoc.codelco.cl/sgdoc-mobile/stream?id=09024abd93eb1008&amp;inline=true" xr:uid="{8F066349-EE75-4FA3-8355-8D45078D2D31}"/>
    <hyperlink ref="B230" r:id="rId227" display="https://sgdoc.codelco.cl/sgdoc-mobile/stream?id=09024abd93eea861&amp;inline=true" xr:uid="{9C4682E1-2332-4D29-8C3D-A927B5317C3D}"/>
    <hyperlink ref="B231" r:id="rId228" display="https://sgdoc.codelco.cl/sgdoc-mobile/stream?id=09024abd93eea889&amp;inline=true" xr:uid="{ED02C7BD-63BB-474A-9FB8-EE9D7FBBEC2E}"/>
    <hyperlink ref="B232" r:id="rId229" display="https://sgdoc.codelco.cl/sgdoc-mobile/stream?id=09024abd93eea8eb&amp;inline=true" xr:uid="{E8D11A6B-C9C6-41E3-9932-254D328A3082}"/>
    <hyperlink ref="B233" r:id="rId230" display="https://sgdoc.codelco.cl/sgdoc-mobile/stream?id=09024abd92bae85c&amp;inline=true" xr:uid="{57F3CEF8-21D9-4FAC-A51F-DACF33ECB270}"/>
    <hyperlink ref="B234" r:id="rId231" display="https://sgdoc.codelco.cl/sgdoc-mobile/stream?id=09024abd93eea920&amp;inline=true" xr:uid="{CBDC2C5D-6BF9-4838-9BE0-C011A6725C22}"/>
    <hyperlink ref="B235" r:id="rId232" display="https://sgdoc.codelco.cl/sgdoc-mobile/stream?id=09024abd93e007cd&amp;inline=true" xr:uid="{C1C7F4C5-BFD7-4321-AD29-DA7E44959610}"/>
    <hyperlink ref="B236" r:id="rId233" display="https://sgdoc.codelco.cl/sgdoc-mobile/stream?id=09024abd9401ec13&amp;inline=true" xr:uid="{FD71D6C9-72D7-402E-8B75-2C84F482002E}"/>
    <hyperlink ref="B237" r:id="rId234" display="https://sgdoc.codelco.cl/sgdoc-mobile/stream?id=09024abd93ae6a15&amp;inline=true" xr:uid="{2C2BE7E9-86B6-4413-9AC6-3FC18B64E2D3}"/>
    <hyperlink ref="B238" r:id="rId235" display="https://sgdoc.codelco.cl/sgdoc-mobile/stream?id=09024abd931c737d&amp;inline=true" xr:uid="{19E79C63-731D-41B6-8849-AB95591E33EF}"/>
    <hyperlink ref="B239" r:id="rId236" display="https://sgdoc.codelco.cl/sgdoc-mobile/stream?id=09024abd9336bd04&amp;inline=true" xr:uid="{6456D1B3-E1D1-4873-82C4-6B28D75BE1A8}"/>
    <hyperlink ref="B240" r:id="rId237" display="https://sgdoc.codelco.cl/sgdoc-mobile/stream?id=09024abd93ae6a86&amp;inline=true" xr:uid="{69067AB0-EED0-40EE-B6D5-DA69763DD988}"/>
    <hyperlink ref="B241" r:id="rId238" display="https://sgdoc.codelco.cl/sgdoc-mobile/stream?id=09024abd92a2147a&amp;inline=true" xr:uid="{345AADAA-286C-43F5-8A37-E981B79F811A}"/>
    <hyperlink ref="B242" r:id="rId239" display="https://sgdoc.codelco.cl/sgdoc-mobile/stream?id=09024abd92a621a1&amp;inline=true" xr:uid="{D29A98E1-BDA5-4EE5-9E0C-5465765F505B}"/>
    <hyperlink ref="B243" r:id="rId240" display="https://sgdoc.codelco.cl/sgdoc-mobile/stream?id=09024abd92dd7a3b&amp;inline=true" xr:uid="{72265CD9-4B55-4FDE-B1CD-2D0B45C4466B}"/>
    <hyperlink ref="B244" r:id="rId241" display="https://sgdoc.codelco.cl/sgdoc-mobile/stream?id=09024abd9401ecaa&amp;inline=true" xr:uid="{EC8B93DA-18BC-424D-8FE3-1B70401CCBC7}"/>
    <hyperlink ref="B245" r:id="rId242" display="https://sgdoc.codelco.cl/sgdoc-mobile/stream?id=09024abd92dd7c58&amp;inline=true" xr:uid="{2ECA7D95-BC8E-4258-94E7-4C038546C88D}"/>
    <hyperlink ref="B246" r:id="rId243" display="https://sgdoc.codelco.cl/sgdoc-mobile/stream?id=09024abd92dd85db&amp;inline=true" xr:uid="{3DFB835D-F725-4B41-AEDB-34795C447415}"/>
    <hyperlink ref="B247" r:id="rId244" display="https://sgdoc.codelco.cl/sgdoc-mobile/stream?id=09024abd92dd8737&amp;inline=true" xr:uid="{DC041959-C514-4C53-83D0-9200A36B189F}"/>
    <hyperlink ref="B248" r:id="rId245" display="https://sgdoc.codelco.cl/sgdoc-mobile/stream?id=09024abd947ea7a5&amp;inline=true" xr:uid="{04825620-7B3F-4935-B306-9C1BA5D0A242}"/>
    <hyperlink ref="B249" r:id="rId246" display="https://sgdoc.codelco.cl/sgdoc-mobile/stream?id=09024abd967990bf&amp;inline=true" xr:uid="{1C87B6DF-57C2-43B6-959E-918B399AF43F}"/>
    <hyperlink ref="B250" r:id="rId247" display="https://sgdoc.codelco.cl/sgdoc-mobile/stream?id=09024abd9390e34c&amp;inline=true" xr:uid="{A55C30A7-2D9D-47C7-8320-0EC2A4C85634}"/>
    <hyperlink ref="B251" r:id="rId248" display="https://sgdoc.codelco.cl/sgdoc-mobile/stream?id=09024abd9281a749&amp;inline=true" xr:uid="{4FA994E1-7C10-40FE-9762-BD8DE59C7165}"/>
    <hyperlink ref="B252" r:id="rId249" display="https://sgdoc.codelco.cl/sgdoc-mobile/stream?id=09024abd9336c7fc&amp;inline=true" xr:uid="{ACB9050B-1B2B-4916-A5D3-11EFBB556C45}"/>
    <hyperlink ref="B253" r:id="rId250" display="https://sgdoc.codelco.cl/sgdoc-mobile/stream?id=09024abd9226f3e4&amp;inline=true" xr:uid="{F949B39F-ACE6-4C53-B605-FBCD2B5915BB}"/>
    <hyperlink ref="B254" r:id="rId251" display="https://sgdoc.codelco.cl/sgdoc-mobile/stream?id=09024abd938a36fa&amp;inline=true" xr:uid="{26C9D151-6FFF-4FF4-B227-519746D172F7}"/>
    <hyperlink ref="B255" r:id="rId252" display="https://sgdoc.codelco.cl/sgdoc-mobile/stream?id=09024abd93f4e4d1&amp;inline=true" xr:uid="{FE67BC63-A865-4463-8831-3A9E75D95D18}"/>
    <hyperlink ref="B256" r:id="rId253" display="https://sgdoc.codelco.cl/sgdoc-mobile/stream?id=09024abd93f4e501&amp;inline=true" xr:uid="{18FDE81A-76EA-46DC-AB0E-CD27D8B153E6}"/>
    <hyperlink ref="B257" r:id="rId254" display="https://sgdoc.codelco.cl/sgdoc-mobile/stream?id=09024abd92cf8dbc&amp;inline=true" xr:uid="{5E1FAC71-957A-40ED-A1BD-702353F92F08}"/>
    <hyperlink ref="B258" r:id="rId255" display="https://sgdoc.codelco.cl/sgdoc-mobile/stream?id=09024abd9304a523&amp;inline=true" xr:uid="{E670237E-6F6D-433B-8AB8-47F4951BC5A9}"/>
    <hyperlink ref="B259" r:id="rId256" display="https://sgdoc.codelco.cl/sgdoc-mobile/stream?id=09024abd947eaaae&amp;inline=true" xr:uid="{15C0C95A-3318-4956-A44C-EB62CFB5851A}"/>
    <hyperlink ref="B260" r:id="rId257" display="https://sgdoc.codelco.cl/sgdoc-mobile/stream?id=09024abd947ec722&amp;inline=true" xr:uid="{7918870F-B869-4F7D-853A-77751FBDD7A8}"/>
    <hyperlink ref="B261" r:id="rId258" display="https://sgdoc.codelco.cl/sgdoc-mobile/stream?id=09024abd93c7c403&amp;inline=true" xr:uid="{33F5FCA5-3C5E-4633-A1EF-8FDBC8357180}"/>
    <hyperlink ref="B262" r:id="rId259" display="https://sgdoc.codelco.cl/sgdoc-mobile/stream?id=09024abd9410a16b&amp;inline=true" xr:uid="{29F4544A-E3D7-4062-AC2E-D1C44EF91CE7}"/>
    <hyperlink ref="B263" r:id="rId260" display="https://sgdoc.codelco.cl/sgdoc-mobile/stream?id=09024abd9336be3b&amp;inline=true" xr:uid="{31325F53-FD75-4766-9A6D-6DC9182B98DB}"/>
    <hyperlink ref="B264" r:id="rId261" display="https://sgdoc.codelco.cl/sgdoc-mobile/stream?id=09024abd946a6952&amp;inline=true" xr:uid="{7BD88388-6174-4AC5-B0A2-1355BC06204A}"/>
    <hyperlink ref="B265" r:id="rId262" display="https://sgdoc.codelco.cl/sgdoc-mobile/stream?id=09024abd94b09368&amp;inline=true" xr:uid="{F157CCF0-D434-4CF1-A021-9C192595F082}"/>
    <hyperlink ref="B266" r:id="rId263" display="https://sgdoc.codelco.cl/sgdoc-mobile/stream?id=09024abd93d9ef3a&amp;inline=true" xr:uid="{8C12E47E-C6B1-44E4-BA87-06531F68F2F0}"/>
    <hyperlink ref="B267" r:id="rId264" display="https://sgdoc.codelco.cl/sgdoc-mobile/stream?id=09024abd94b0a8b6&amp;inline=true" xr:uid="{148170E2-C695-46EE-AF1D-60DB99F98B94}"/>
    <hyperlink ref="B268" r:id="rId265" display="https://sgdoc.codelco.cl/sgdoc-mobile/stream?id=09024abd93da0217&amp;inline=true" xr:uid="{68042CFC-C0B6-4C41-A630-7CD090A7CEE6}"/>
    <hyperlink ref="B269" r:id="rId266" display="https://sgdoc.codelco.cl/sgdoc-mobile/stream?id=09024abd947ed04a&amp;inline=true" xr:uid="{0E746355-0E5C-44AE-921F-DA9156F4614C}"/>
    <hyperlink ref="B270" r:id="rId267" display="https://sgdoc.codelco.cl/sgdoc-mobile/stream?id=09024abd932f9697&amp;inline=true" xr:uid="{DCF28A49-1892-4C37-908D-277CDB9FC148}"/>
    <hyperlink ref="B271" r:id="rId268" display="https://sgdoc.codelco.cl/sgdoc-mobile/stream?id=09024abd96c182f1&amp;inline=true" xr:uid="{19A9AE50-3DF3-4AFB-8CF3-2C9AA24D3E44}"/>
    <hyperlink ref="B272" r:id="rId269" display="https://sgdoc.codelco.cl/sgdoc-mobile/stream?id=09024abd93d378c9&amp;inline=true" xr:uid="{BCF690E5-66BB-48F0-A659-C28D015C0F8F}"/>
    <hyperlink ref="B273" r:id="rId270" display="https://sgdoc.codelco.cl/sgdoc-mobile/stream?id=09024abd93ae6cb1&amp;inline=true" xr:uid="{F30DF362-7F0C-4A79-AA39-170FDF140008}"/>
    <hyperlink ref="B274" r:id="rId271" display="https://sgdoc.codelco.cl/sgdoc-mobile/stream?id=09024abd92a651f0&amp;inline=true" xr:uid="{59630BBA-765E-4977-BBA8-33250B9FB67D}"/>
    <hyperlink ref="B275" r:id="rId272" display="https://sgdoc.codelco.cl/sgdoc-mobile/stream?id=09024abd92d056a7&amp;inline=true" xr:uid="{D5DDA965-1A55-46A6-A12E-75A104DD9DB0}"/>
    <hyperlink ref="B276" r:id="rId273" display="https://sgdoc.codelco.cl/sgdoc-mobile/stream?id=09024abd92d057f0&amp;inline=true" xr:uid="{96951C70-DE45-4318-A7A5-83DB1FB9108F}"/>
    <hyperlink ref="B277" r:id="rId274" display="https://sgdoc.codelco.cl/sgdoc-mobile/stream?id=09024abd92d3ebb4&amp;inline=true" xr:uid="{47F3C311-28F4-434C-AB71-86877F95C958}"/>
    <hyperlink ref="B278" r:id="rId275" display="https://sgdoc.codelco.cl/sgdoc-mobile/stream?id=09024abd92d3ec62&amp;inline=true" xr:uid="{EA8D8EC6-6B46-463D-B4B6-0E8FAF7FCAB2}"/>
    <hyperlink ref="B279" r:id="rId276" display="https://sgdoc.codelco.cl/sgdoc-mobile/stream?id=09024abd92d3ed2b&amp;inline=true" xr:uid="{651EB3D7-C3D3-4718-8411-E29978A1FA3D}"/>
    <hyperlink ref="B280" r:id="rId277" display="https://sgdoc.codelco.cl/sgdoc-mobile/stream?id=09024abd93ae6cf7&amp;inline=true" xr:uid="{03645522-4FD5-41D4-A5F9-BAAAF3CF04E7}"/>
    <hyperlink ref="B281" r:id="rId278" display="https://sgdoc.codelco.cl/sgdoc-mobile/stream?id=09024abd9312d8d4&amp;inline=true" xr:uid="{668DD38E-93DD-4E85-83D2-07344D8E1048}"/>
    <hyperlink ref="B282" r:id="rId279" display="https://sgdoc.codelco.cl/sgdoc-mobile/stream?id=09024abd92ee3b0a&amp;inline=true" xr:uid="{8F0C4CC1-E5F4-48A1-AC4C-D20537AF29AC}"/>
    <hyperlink ref="B283" r:id="rId280" display="https://sgdoc.codelco.cl/sgdoc-mobile/stream?id=09024abd935fbb53&amp;inline=true" xr:uid="{3BFA83AE-9408-4543-B9FC-8AEEA9907713}"/>
    <hyperlink ref="B284" r:id="rId281" display="https://sgdoc.codelco.cl/sgdoc-mobile/stream?id=09024abd94f8ac6c&amp;inline=true" xr:uid="{8F3E667D-AFB7-4C30-8416-71AB1E2767D7}"/>
    <hyperlink ref="B285" r:id="rId282" display="https://sgdoc.codelco.cl/sgdoc-mobile/stream?id=09024abd9319ef41&amp;inline=true" xr:uid="{26812410-517E-4EDF-A04E-3120493D5E2B}"/>
    <hyperlink ref="B286" r:id="rId283" display="https://sgdoc.codelco.cl/sgdoc-mobile/stream?id=09024abd92d3d6c5&amp;inline=true" xr:uid="{1108F01F-8679-4E13-97DB-0E303AE34609}"/>
    <hyperlink ref="B287" r:id="rId284" display="https://sgdoc.codelco.cl/sgdoc-mobile/stream?id=09024abd92fa8516&amp;inline=true" xr:uid="{F257B2B8-4E67-417E-9838-E748ABA47F03}"/>
    <hyperlink ref="B288" r:id="rId285" display="https://sgdoc.codelco.cl/sgdoc-mobile/stream?id=09024abd92d3db2d&amp;inline=true" xr:uid="{28770ED3-72CE-4950-B605-12BC49EA95F9}"/>
    <hyperlink ref="B289" r:id="rId286" display="https://sgdoc.codelco.cl/sgdoc-mobile/stream?id=09024abd93341c64&amp;inline=true" xr:uid="{FA7F71CD-F9DA-451E-BFD3-C959481BE1A0}"/>
    <hyperlink ref="B290" r:id="rId287" display="https://sgdoc.codelco.cl/sgdoc-mobile/stream?id=09024abd92f44e19&amp;inline=true" xr:uid="{49565D57-0DC2-4A80-AAB8-54614A827D16}"/>
    <hyperlink ref="B291" r:id="rId288" display="https://sgdoc.codelco.cl/sgdoc-mobile/stream?id=09024abd93341dc1&amp;inline=true" xr:uid="{88E16E66-4491-4581-8028-6D6D8E6A9EF6}"/>
    <hyperlink ref="B292" r:id="rId289" display="https://sgdoc.codelco.cl/sgdoc-mobile/stream?id=09024abd92cf97bc&amp;inline=true" xr:uid="{7ED4BFA2-041C-4D97-A68C-2C300486F9F2}"/>
    <hyperlink ref="B293" r:id="rId290" display="https://sgdoc.codelco.cl/sgdoc-mobile/stream?id=09024abd92ddaaaf&amp;inline=true" xr:uid="{B8A4CD11-175B-40C3-89ED-BFE318332D75}"/>
    <hyperlink ref="B294" r:id="rId291" display="https://sgdoc.codelco.cl/sgdoc-mobile/stream?id=09024abd93c7b66d&amp;inline=true" xr:uid="{8CCE4279-31F1-45F7-AE1C-393CAAB33227}"/>
    <hyperlink ref="B295" r:id="rId292" display="https://sgdoc.codelco.cl/sgdoc-mobile/stream?id=09024abd92756aed&amp;inline=true" xr:uid="{1B7EF3B4-C25A-4E17-AD6D-96A365B6D3C8}"/>
    <hyperlink ref="B296" r:id="rId293" display="https://sgdoc.codelco.cl/sgdoc-mobile/stream?id=09024abd92dd8824&amp;inline=true" xr:uid="{57B66FC7-00A5-426C-966C-33CF680D9B21}"/>
    <hyperlink ref="B297" r:id="rId294" display="https://sgdoc.codelco.cl/sgdoc-mobile/stream?id=09024abd92a6a024&amp;inline=true" xr:uid="{6DFD06D2-2115-478F-98BB-B1BAB6566B64}"/>
    <hyperlink ref="B298" r:id="rId295" display="https://sgdoc.codelco.cl/sgdoc-mobile/stream?id=09024abd920c5761&amp;inline=true" xr:uid="{559E4517-5D18-4D96-8648-40D97910D02E}"/>
    <hyperlink ref="B299" r:id="rId296" display="https://sgdoc.codelco.cl/sgdoc-mobile/stream?id=09024abd920c5796&amp;inline=true" xr:uid="{258606A0-A9CE-4376-AA91-040EC3A42F3D}"/>
    <hyperlink ref="B300" r:id="rId297" display="https://sgdoc.codelco.cl/sgdoc-mobile/stream?id=09024abd920c57bb&amp;inline=true" xr:uid="{06565F7B-4E9F-4606-8D06-B43B0272E08D}"/>
    <hyperlink ref="B301" r:id="rId298" display="https://sgdoc.codelco.cl/sgdoc-mobile/stream?id=09024abd920c57e2&amp;inline=true" xr:uid="{EB541821-AACB-4DF1-8A1A-435CAB827938}"/>
    <hyperlink ref="B302" r:id="rId299" display="https://sgdoc.codelco.cl/sgdoc-mobile/stream?id=09024abd920c5806&amp;inline=true" xr:uid="{E45DE328-D622-415B-815C-C8F2167ABAB2}"/>
    <hyperlink ref="B303" r:id="rId300" display="https://sgdoc.codelco.cl/sgdoc-mobile/stream?id=09024abd920c5847&amp;inline=true" xr:uid="{E02E92EC-A181-47E3-AD76-CF85142DDE08}"/>
    <hyperlink ref="B304" r:id="rId301" display="https://sgdoc.codelco.cl/sgdoc-mobile/stream?id=09024abd920c58fe&amp;inline=true" xr:uid="{C15CA5F1-EF41-4325-8D3C-22E0C16D1337}"/>
    <hyperlink ref="B305" r:id="rId302" display="https://sgdoc.codelco.cl/sgdoc-mobile/stream?id=09024abd943ae3c1&amp;inline=true" xr:uid="{78BCF64F-59F6-4F8C-80B7-D78CDD99F2AE}"/>
    <hyperlink ref="B306" r:id="rId303" display="https://sgdoc.codelco.cl/sgdoc-mobile/stream?id=09024abd94f8ce90&amp;inline=true" xr:uid="{D6AA55A7-2C9C-403B-B01D-5EF9D5D151CD}"/>
    <hyperlink ref="B307" r:id="rId304" display="https://sgdoc.codelco.cl/sgdoc-mobile/stream?id=09024abd99569e1a&amp;inline=true" xr:uid="{FEA27722-A243-4BDE-A68C-068AE67B3CC9}"/>
    <hyperlink ref="B308" r:id="rId305" display="https://sgdoc.codelco.cl/sgdoc-mobile/stream?id=09024abd99569f98&amp;inline=true" xr:uid="{ADEF1E72-8236-41DF-99A2-B5F711C65CA9}"/>
    <hyperlink ref="B309" r:id="rId306" display="https://sgdoc.codelco.cl/sgdoc-mobile/stream?id=09024abd99567a86&amp;inline=true" xr:uid="{3FC3E423-2F38-4EAC-B0BA-A7835F507AB2}"/>
    <hyperlink ref="B310" r:id="rId307" display="https://sgdoc.codelco.cl/sgdoc-mobile/stream?id=09024abd993f6c32&amp;inline=true" xr:uid="{06A56FE6-6D82-4218-88FF-848C95C810DB}"/>
    <hyperlink ref="B311" r:id="rId308" display="https://sgdoc.codelco.cl/sgdoc-mobile/stream?id=09024abd993f9301&amp;inline=true" xr:uid="{2AB4D04B-D5EC-473A-8A8B-F9A9F8F69298}"/>
    <hyperlink ref="B312" r:id="rId309" display="https://sgdoc.codelco.cl/sgdoc-mobile/stream?id=09024abd99bc35b8&amp;inline=true" xr:uid="{CC24E57C-9C9D-485C-A581-429F4E906BB9}"/>
    <hyperlink ref="B313" r:id="rId310" display="https://sgdoc.codelco.cl/sgdoc-mobile/stream?id=09024abd99c8a8a7&amp;inline=true" xr:uid="{8BC28115-07AA-48B3-95A8-7134231FAB44}"/>
    <hyperlink ref="B314" r:id="rId311" display="https://sgdoc.codelco.cl/sgdoc-mobile/stream?id=09024abd99c89bb5&amp;inline=true" xr:uid="{D8B1B269-BC1E-4A7F-AD47-ED6C12E2D429}"/>
    <hyperlink ref="B315" r:id="rId312" display="https://sgdoc.codelco.cl/sgdoc-mobile/stream?id=09024abd99cdfcef&amp;inline=true" xr:uid="{7C583D19-492A-4680-A11F-1ED14CA5A9B1}"/>
    <hyperlink ref="B316" r:id="rId313" display="https://sgdoc.codelco.cl/sgdoc-mobile/stream?id=09024abd99ce0021&amp;inline=true" xr:uid="{DDC1CA4A-F9E7-429C-BE7D-CE9F6294D211}"/>
    <hyperlink ref="B317" r:id="rId314" display="https://sgdoc.codelco.cl/sgdoc-mobile/stream?id=09024abd9a6cd543&amp;inline=true" xr:uid="{723EBDDC-2FA6-48CF-A60F-7E5153752F78}"/>
    <hyperlink ref="B318" r:id="rId315" display="https://sgdoc.codelco.cl/sgdoc-mobile/stream?id=09024abd9a6cd851&amp;inline=true" xr:uid="{4A22D390-79EC-4214-AA67-D9E439F346DC}"/>
    <hyperlink ref="B319" r:id="rId316" display="https://sgdoc.codelco.cl/sgdoc-mobile/stream?id=09024abd9a6cdb3b&amp;inline=true" xr:uid="{42D21EB7-7F31-4E29-8E0F-4BF1CAB07ED9}"/>
    <hyperlink ref="B320" r:id="rId317" display="https://sgdoc.codelco.cl/sgdoc-mobile/stream?id=09024abd9a6ce4a6&amp;inline=true" xr:uid="{1F79DDF6-CE31-4191-9C1E-3E8CE08C5528}"/>
    <hyperlink ref="B321" r:id="rId318" display="https://sgdoc.codelco.cl/sgdoc-mobile/stream?id=09024abd9a6ce584&amp;inline=true" xr:uid="{48B2D2E7-FFFB-4DD4-B7BF-AB130A8C536A}"/>
    <hyperlink ref="B322" r:id="rId319" display="https://sgdoc.codelco.cl/sgdoc-mobile/stream?id=09024abd9a6ce684&amp;inline=true" xr:uid="{A2E0BB0F-8B75-42B5-BD0A-DC742A9AD324}"/>
    <hyperlink ref="B323" r:id="rId320" display="https://sgdoc.codelco.cl/sgdoc-mobile/stream?id=09024abd9a0aa313&amp;inline=true" xr:uid="{EBD3049D-1986-4FD2-9FAD-364B8CB4653F}"/>
    <hyperlink ref="B324" r:id="rId321" display="https://sgdoc.codelco.cl/sgdoc-mobile/stream?id=09024abd996b4c9f&amp;inline=true" xr:uid="{40B8AFE7-1743-4AE8-812E-A9DD2CA0459C}"/>
    <hyperlink ref="B325" r:id="rId322" display="https://sgdoc.codelco.cl/sgdoc-mobile/stream?id=09024abd99c186a9&amp;inline=true" xr:uid="{EA09D9BF-5990-454E-BEF3-F5078A9BA865}"/>
    <hyperlink ref="B326" r:id="rId323" display="https://sgdoc.codelco.cl/sgdoc-mobile/stream?id=09024abd99ce4c52&amp;inline=true" xr:uid="{53D791A2-057F-45E4-B8ED-1F9FCB72B0A3}"/>
    <hyperlink ref="B327" r:id="rId324" display="https://sgdoc.codelco.cl/sgdoc-mobile/stream?id=09024abd9a6cf75f&amp;inline=true" xr:uid="{4D3277FB-73E5-49B7-B0C6-DDC6284478B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7c3764-ba28-4616-a44e-cc91939d7e35" xsi:nil="true"/>
    <lcf76f155ced4ddcb4097134ff3c332f xmlns="d51d2190-71d1-4d85-b4ef-f3aa58d47f9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65CF583BEB844DA76DE1FB73AE9C7C" ma:contentTypeVersion="13" ma:contentTypeDescription="Crear nuevo documento." ma:contentTypeScope="" ma:versionID="49e03c61843630b3a67a3e9e809df9ba">
  <xsd:schema xmlns:xsd="http://www.w3.org/2001/XMLSchema" xmlns:xs="http://www.w3.org/2001/XMLSchema" xmlns:p="http://schemas.microsoft.com/office/2006/metadata/properties" xmlns:ns2="d51d2190-71d1-4d85-b4ef-f3aa58d47f98" xmlns:ns3="447c3764-ba28-4616-a44e-cc91939d7e35" targetNamespace="http://schemas.microsoft.com/office/2006/metadata/properties" ma:root="true" ma:fieldsID="73c4f88b8cfa7850fc6776170edbf273" ns2:_="" ns3:_="">
    <xsd:import namespace="d51d2190-71d1-4d85-b4ef-f3aa58d47f98"/>
    <xsd:import namespace="447c3764-ba28-4616-a44e-cc91939d7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d2190-71d1-4d85-b4ef-f3aa58d47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c3764-ba28-4616-a44e-cc91939d7e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28465f-671c-41f5-9016-0e2769acc37d}" ma:internalName="TaxCatchAll" ma:showField="CatchAllData" ma:web="447c3764-ba28-4616-a44e-cc91939d7e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EA4DBB-CA04-4B67-9B2C-305827ED69C4}"/>
</file>

<file path=customXml/itemProps2.xml><?xml version="1.0" encoding="utf-8"?>
<ds:datastoreItem xmlns:ds="http://schemas.openxmlformats.org/officeDocument/2006/customXml" ds:itemID="{EEC25D94-47C9-4D25-BB9C-508754A6C699}"/>
</file>

<file path=customXml/itemProps3.xml><?xml version="1.0" encoding="utf-8"?>
<ds:datastoreItem xmlns:ds="http://schemas.openxmlformats.org/officeDocument/2006/customXml" ds:itemID="{884A02FE-57D9-4101-909D-5DD569863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Perez Brito</dc:creator>
  <cp:keywords/>
  <dc:description/>
  <cp:lastModifiedBy>Jorge Perez Brito</cp:lastModifiedBy>
  <cp:revision/>
  <dcterms:created xsi:type="dcterms:W3CDTF">2025-10-24T11:17:04Z</dcterms:created>
  <dcterms:modified xsi:type="dcterms:W3CDTF">2025-12-10T21:32:04Z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0x010100AB65CF583BEB844DA76DE1FB73AE9C7C</vt:lpwstr>
  </property>
  <property fmtid="{D5CDD505-2E9C-101B-9397-08002B2CF9AE}" pid="3" name="MediaServiceImageTags">
    <vt:lpwstr/>
  </property>
</Properties>
</file>